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Executive_Dashboard" sheetId="1" state="visible" r:id="rId1"/>
    <sheet xmlns:r="http://schemas.openxmlformats.org/officeDocument/2006/relationships" name="01_Model_Config" sheetId="2" state="visible" r:id="rId2"/>
    <sheet xmlns:r="http://schemas.openxmlformats.org/officeDocument/2006/relationships" name="02_Market_Inputs" sheetId="3" state="visible" r:id="rId3"/>
    <sheet xmlns:r="http://schemas.openxmlformats.org/officeDocument/2006/relationships" name="03_Factor_SubScores" sheetId="4" state="visible" r:id="rId4"/>
    <sheet xmlns:r="http://schemas.openxmlformats.org/officeDocument/2006/relationships" name="04_Pillar_Calculation" sheetId="5" state="visible" r:id="rId5"/>
    <sheet xmlns:r="http://schemas.openxmlformats.org/officeDocument/2006/relationships" name="05_Composite_Calibration" sheetId="6" state="visible" r:id="rId6"/>
    <sheet xmlns:r="http://schemas.openxmlformats.org/officeDocument/2006/relationships" name="06_MLR_Regression" sheetId="7" state="visible" r:id="rId7"/>
    <sheet xmlns:r="http://schemas.openxmlformats.org/officeDocument/2006/relationships" name="07_VAR_Granger" sheetId="8" state="visible" r:id="rId8"/>
    <sheet xmlns:r="http://schemas.openxmlformats.org/officeDocument/2006/relationships" name="08_ML_Validation" sheetId="9" state="visible" r:id="rId9"/>
    <sheet xmlns:r="http://schemas.openxmlformats.org/officeDocument/2006/relationships" name="09_Feature_Importance" sheetId="10" state="visible" r:id="rId10"/>
    <sheet xmlns:r="http://schemas.openxmlformats.org/officeDocument/2006/relationships" name="10_Backtest_Efficacy" sheetId="11" state="visible" r:id="rId11"/>
    <sheet xmlns:r="http://schemas.openxmlformats.org/officeDocument/2006/relationships" name="11_Data_Audit_Backfill" sheetId="12" state="visible" r:id="rId12"/>
    <sheet xmlns:r="http://schemas.openxmlformats.org/officeDocument/2006/relationships" name="12_Methodology_EN" sheetId="13" state="visible" r:id="rId13"/>
    <sheet xmlns:r="http://schemas.openxmlformats.org/officeDocument/2006/relationships" name="13_Phuong_Phap_Luan_VN" sheetId="14" state="visible" r:id="rId14"/>
  </sheets>
  <definedNames>
    <definedName name="_xlnm._FilterDatabase" localSheetId="2" hidden="1">'02_Market_Inputs'!$A$4:$Z$28</definedName>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000"/>
    <numFmt numFmtId="166" formatCode="0.0000%"/>
    <numFmt numFmtId="167" formatCode="0.000000"/>
  </numFmts>
  <fonts count="9">
    <font>
      <name val="Calibri"/>
      <family val="2"/>
      <color theme="1"/>
      <sz val="11"/>
      <scheme val="minor"/>
    </font>
    <font>
      <name val="Calibri"/>
      <b val="1"/>
      <color rgb="0017365D"/>
      <sz val="15"/>
    </font>
    <font>
      <name val="Calibri"/>
      <i val="1"/>
      <color rgb="0064748B"/>
      <sz val="10"/>
    </font>
    <font>
      <name val="Calibri"/>
      <b val="1"/>
      <color rgb="00334155"/>
      <sz val="9"/>
    </font>
    <font>
      <name val="Calibri"/>
      <b val="1"/>
      <color rgb="0017365D"/>
      <sz val="16"/>
    </font>
    <font>
      <name val="Calibri"/>
      <b val="1"/>
      <color rgb="0017365D"/>
      <sz val="11"/>
    </font>
    <font>
      <name val="Calibri"/>
      <b val="1"/>
      <color rgb="00FFFFFF"/>
      <sz val="9"/>
    </font>
    <font>
      <name val="Calibri"/>
      <color rgb="001E293B"/>
      <sz val="9"/>
    </font>
    <font>
      <name val="Calibri"/>
      <b val="1"/>
      <color rgb="001E293B"/>
      <sz val="9"/>
    </font>
  </fonts>
  <fills count="7">
    <fill>
      <patternFill/>
    </fill>
    <fill>
      <patternFill patternType="gray125"/>
    </fill>
    <fill>
      <patternFill patternType="solid">
        <fgColor rgb="00EFF6FF"/>
      </patternFill>
    </fill>
    <fill>
      <patternFill patternType="solid">
        <fgColor rgb="00334155"/>
      </patternFill>
    </fill>
    <fill>
      <patternFill patternType="solid">
        <fgColor rgb="00F8FAFC"/>
      </patternFill>
    </fill>
    <fill>
      <patternFill patternType="solid">
        <fgColor rgb="00FEF3C7"/>
      </patternFill>
    </fill>
    <fill>
      <patternFill patternType="solid">
        <fgColor rgb="0017365D"/>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medium">
        <color rgb="0017365D"/>
      </bottom>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2" borderId="1" applyAlignment="1" pivotButton="0" quotePrefix="0" xfId="0">
      <alignment horizontal="center" vertical="center" wrapText="1"/>
    </xf>
    <xf numFmtId="2" fontId="4" fillId="2" borderId="1" applyAlignment="1" pivotButton="0" quotePrefix="0" xfId="0">
      <alignment horizontal="center" vertical="center" wrapText="1"/>
    </xf>
    <xf numFmtId="0" fontId="5" fillId="0" borderId="0" pivotButton="0" quotePrefix="0" xfId="0"/>
    <xf numFmtId="0" fontId="6" fillId="3" borderId="2" applyAlignment="1" pivotButton="0" quotePrefix="0" xfId="0">
      <alignment horizontal="center" vertical="center" wrapText="1"/>
    </xf>
    <xf numFmtId="0" fontId="7" fillId="4" borderId="1" applyAlignment="1" pivotButton="0" quotePrefix="0" xfId="0">
      <alignment horizontal="center" vertical="center" wrapText="1"/>
    </xf>
    <xf numFmtId="164" fontId="7" fillId="5" borderId="1" applyAlignment="1" pivotButton="0" quotePrefix="0" xfId="0">
      <alignment horizontal="center" vertical="center" wrapText="1"/>
    </xf>
    <xf numFmtId="2" fontId="7" fillId="5" borderId="1" applyAlignment="1" pivotButton="0" quotePrefix="0" xfId="0">
      <alignment horizontal="right" vertical="center"/>
    </xf>
    <xf numFmtId="164" fontId="7" fillId="5" borderId="1" applyAlignment="1" pivotButton="0" quotePrefix="0" xfId="0">
      <alignment horizontal="right" vertical="center"/>
    </xf>
    <xf numFmtId="0" fontId="7" fillId="5" borderId="1" applyAlignment="1" pivotButton="0" quotePrefix="0" xfId="0">
      <alignment horizontal="right" vertical="center"/>
    </xf>
    <xf numFmtId="0" fontId="7" fillId="0" borderId="1" applyAlignment="1" pivotButton="0" quotePrefix="0" xfId="0">
      <alignment horizontal="center" vertical="center" wrapText="1"/>
    </xf>
    <xf numFmtId="10" fontId="7" fillId="5" borderId="1" applyAlignment="1" pivotButton="0" quotePrefix="0" xfId="0">
      <alignment horizontal="center" vertical="center" wrapText="1"/>
    </xf>
    <xf numFmtId="0" fontId="7" fillId="0" borderId="1" applyAlignment="1" pivotButton="0" quotePrefix="0" xfId="0">
      <alignment horizontal="right" vertical="center"/>
    </xf>
    <xf numFmtId="0" fontId="7" fillId="4" borderId="1" applyAlignment="1" pivotButton="0" quotePrefix="0" xfId="0">
      <alignment horizontal="right" vertical="center"/>
    </xf>
    <xf numFmtId="165" fontId="7" fillId="5" borderId="1" applyAlignment="1" pivotButton="0" quotePrefix="0" xfId="0">
      <alignment horizontal="center" vertical="center" wrapText="1"/>
    </xf>
    <xf numFmtId="0" fontId="6" fillId="6" borderId="2" applyAlignment="1" pivotButton="0" quotePrefix="0" xfId="0">
      <alignment horizontal="center" vertical="center" wrapText="1"/>
    </xf>
    <xf numFmtId="164" fontId="7" fillId="0" borderId="1" applyAlignment="1" pivotButton="0" quotePrefix="0" xfId="0">
      <alignment horizontal="right" vertical="center"/>
    </xf>
    <xf numFmtId="164" fontId="7" fillId="4" borderId="1" applyAlignment="1" pivotButton="0" quotePrefix="0" xfId="0">
      <alignment horizontal="right" vertical="center"/>
    </xf>
    <xf numFmtId="10" fontId="7" fillId="0" borderId="1" applyAlignment="1" pivotButton="0" quotePrefix="0" xfId="0">
      <alignment horizontal="center" vertical="center" wrapText="1"/>
    </xf>
    <xf numFmtId="4" fontId="7" fillId="4" borderId="1" applyAlignment="1" pivotButton="0" quotePrefix="0" xfId="0">
      <alignment horizontal="right" vertical="center"/>
    </xf>
    <xf numFmtId="165" fontId="7" fillId="4" borderId="1" applyAlignment="1" pivotButton="0" quotePrefix="0" xfId="0">
      <alignment horizontal="right" vertical="center"/>
    </xf>
    <xf numFmtId="166" fontId="7" fillId="4" borderId="1" applyAlignment="1" pivotButton="0" quotePrefix="0" xfId="0">
      <alignment horizontal="right" vertical="center"/>
    </xf>
    <xf numFmtId="4" fontId="7" fillId="0" borderId="1" applyAlignment="1" pivotButton="0" quotePrefix="0" xfId="0">
      <alignment horizontal="right" vertical="center"/>
    </xf>
    <xf numFmtId="165" fontId="7" fillId="0" borderId="1" applyAlignment="1" pivotButton="0" quotePrefix="0" xfId="0">
      <alignment horizontal="right" vertical="center"/>
    </xf>
    <xf numFmtId="166" fontId="7" fillId="0" borderId="1" applyAlignment="1" pivotButton="0" quotePrefix="0" xfId="0">
      <alignment horizontal="right" vertical="center"/>
    </xf>
    <xf numFmtId="0" fontId="7" fillId="5" borderId="1" applyAlignment="1" pivotButton="0" quotePrefix="0" xfId="0">
      <alignment horizontal="center" vertical="center" wrapText="1"/>
    </xf>
    <xf numFmtId="167" fontId="7" fillId="5" borderId="1" applyAlignment="1" pivotButton="0" quotePrefix="0" xfId="0">
      <alignment horizontal="right" vertical="center"/>
    </xf>
    <xf numFmtId="4" fontId="7" fillId="5" borderId="1" applyAlignment="1" pivotButton="0" quotePrefix="0" xfId="0">
      <alignment horizontal="right" vertical="center"/>
    </xf>
    <xf numFmtId="165" fontId="7" fillId="5" borderId="1" applyAlignment="1" pivotButton="0" quotePrefix="0" xfId="0">
      <alignment horizontal="right" vertical="center"/>
    </xf>
    <xf numFmtId="167" fontId="7" fillId="4" borderId="1" applyAlignment="1" pivotButton="0" quotePrefix="0" xfId="0">
      <alignment horizontal="right" vertical="center"/>
    </xf>
    <xf numFmtId="167" fontId="7" fillId="0" borderId="1" applyAlignment="1" pivotButton="0" quotePrefix="0" xfId="0">
      <alignment horizontal="right" vertical="center"/>
    </xf>
    <xf numFmtId="10" fontId="7" fillId="0" borderId="1" applyAlignment="1" pivotButton="0" quotePrefix="0" xfId="0">
      <alignment horizontal="right" vertical="center"/>
    </xf>
    <xf numFmtId="10" fontId="7" fillId="5" borderId="1" applyAlignment="1" pivotButton="0" quotePrefix="0" xfId="0">
      <alignment horizontal="right" vertical="center"/>
    </xf>
    <xf numFmtId="10" fontId="7" fillId="4" borderId="1" applyAlignment="1" pivotButton="0" quotePrefix="0" xfId="0">
      <alignment horizontal="right" vertical="center"/>
    </xf>
    <xf numFmtId="4" fontId="7" fillId="5" borderId="1" applyAlignment="1" pivotButton="0" quotePrefix="0" xfId="0">
      <alignment horizontal="center" vertical="center" wrapText="1"/>
    </xf>
    <xf numFmtId="0" fontId="8" fillId="0" borderId="1" applyAlignment="1" pivotButton="0" quotePrefix="0" xfId="0">
      <alignment horizontal="left" vertical="center" wrapText="1"/>
    </xf>
    <xf numFmtId="0" fontId="0" fillId="5" borderId="1" applyAlignment="1" pivotButton="0" quotePrefix="0" xfId="0">
      <alignment horizontal="left" vertical="center" wrapText="1"/>
    </xf>
    <xf numFmtId="2" fontId="0" fillId="5" borderId="1" applyAlignment="1" pivotButton="0" quotePrefix="0" xfId="0">
      <alignment horizontal="left" vertical="center" wrapText="1"/>
    </xf>
    <xf numFmtId="0" fontId="5" fillId="2" borderId="0" applyAlignment="1" pivotButton="0" quotePrefix="0" xfId="0">
      <alignment horizontal="left"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7365D"/>
    <outlinePr summaryBelow="1" summaryRight="1"/>
    <pageSetUpPr fitToPage="1"/>
  </sheetPr>
  <dimension ref="A1:F27"/>
  <sheetViews>
    <sheetView showGridLines="0" workbookViewId="0">
      <pane ySplit="4" topLeftCell="A5" activePane="bottomLeft" state="frozen"/>
      <selection pane="bottomLeft" activeCell="A1" sqref="A1"/>
    </sheetView>
  </sheetViews>
  <sheetFormatPr baseColWidth="8" defaultRowHeight="15"/>
  <cols>
    <col width="42" customWidth="1" min="1" max="1"/>
    <col width="19" customWidth="1" min="2" max="2"/>
    <col width="22" customWidth="1" min="3" max="3"/>
    <col width="42" customWidth="1" min="4" max="4"/>
    <col width="16" customWidth="1" min="5" max="5"/>
    <col width="12" customWidth="1" min="6" max="6"/>
  </cols>
  <sheetData>
    <row r="1">
      <c r="A1" s="1" t="inlineStr">
        <is>
          <t>VN-INDEX QUANTITATIVE SCORING SYSTEM — EXECUTIVE DASHBOARD</t>
        </is>
      </c>
    </row>
    <row r="2">
      <c r="A2" s="2" t="inlineStr">
        <is>
          <t>Institutional quarterly macro-quant model | formula-driven | point-in-time inputs | 2021-Q1 to latest available quarter</t>
        </is>
      </c>
    </row>
    <row r="3"/>
    <row r="4"/>
    <row r="5">
      <c r="A5" s="3" t="inlineStr">
        <is>
          <t>LATEST QUARTER</t>
        </is>
      </c>
      <c r="B5" s="3" t="inlineStr">
        <is>
          <t>CALIBRATED ACTION</t>
        </is>
      </c>
      <c r="C5" s="3" t="inlineStr">
        <is>
          <t>CALIBRATED SCORE</t>
        </is>
      </c>
      <c r="D5" s="3" t="inlineStr">
        <is>
          <t>EQUITY ALLOCATION</t>
        </is>
      </c>
      <c r="E5" s="3" t="inlineStr">
        <is>
          <t>RAW COMPOSITE</t>
        </is>
      </c>
    </row>
    <row r="6">
      <c r="A6" s="4">
        <f>INDEX('05_Composite_Calibration'!A5:A28,COUNTA('05_Composite_Calibration'!A5:A28))</f>
        <v/>
      </c>
      <c r="B6" s="4">
        <f>INDEX('05_Composite_Calibration'!K5:K28,COUNTA('05_Composite_Calibration'!A5:A28))</f>
        <v/>
      </c>
      <c r="C6" s="5">
        <f>INDEX('05_Composite_Calibration'!J5:J28,COUNTA('05_Composite_Calibration'!A5:A28))</f>
        <v/>
      </c>
      <c r="D6" s="4">
        <f>INDEX('05_Composite_Calibration'!L5:L28,COUNTA('05_Composite_Calibration'!A5:A28))</f>
        <v/>
      </c>
      <c r="E6" s="5">
        <f>INDEX('05_Composite_Calibration'!D5:D28,COUNTA('05_Composite_Calibration'!A5:A28))</f>
        <v/>
      </c>
    </row>
    <row r="7"/>
    <row r="8"/>
    <row r="9">
      <c r="A9" s="6" t="inlineStr">
        <is>
          <t>LATEST-QUARTER SIX-PILLAR DECOMPOSITION</t>
        </is>
      </c>
    </row>
    <row r="10" ht="32" customHeight="1">
      <c r="A10" s="7" t="inlineStr">
        <is>
          <t>Pillar</t>
        </is>
      </c>
      <c r="B10" s="7" t="inlineStr">
        <is>
          <t>Weight</t>
        </is>
      </c>
      <c r="C10" s="7" t="inlineStr">
        <is>
          <t>Raw Score</t>
        </is>
      </c>
      <c r="D10" s="7" t="inlineStr">
        <is>
          <t>Weighted Contribution</t>
        </is>
      </c>
      <c r="E10" s="7" t="inlineStr">
        <is>
          <t>% of Composite</t>
        </is>
      </c>
      <c r="F10" s="7" t="inlineStr">
        <is>
          <t>Assessment</t>
        </is>
      </c>
    </row>
    <row r="11">
      <c r="A11" s="8" t="inlineStr">
        <is>
          <t>Macro &amp; Monetary</t>
        </is>
      </c>
      <c r="B11" s="9">
        <f>'01_Model_Config'!C6</f>
        <v/>
      </c>
      <c r="C11" s="10">
        <f>INDEX('04_Pillar_Calculation'!C5:C28,COUNTA('04_Pillar_Calculation'!A5:A28))</f>
        <v/>
      </c>
      <c r="D11" s="10">
        <f>INDEX('04_Pillar_Calculation'!K5:K28,COUNTA('04_Pillar_Calculation'!A5:A28))</f>
        <v/>
      </c>
      <c r="E11" s="11">
        <f>D11/$D$17</f>
        <v/>
      </c>
      <c r="F11" s="12">
        <f>IF(C11&gt;=65,"Favorable",IF(C11&gt;=50,"Neutral","Unfavorable"))</f>
        <v/>
      </c>
    </row>
    <row r="12">
      <c r="A12" s="13" t="inlineStr">
        <is>
          <t>Global &amp; Intermarket</t>
        </is>
      </c>
      <c r="B12" s="9">
        <f>'01_Model_Config'!C7</f>
        <v/>
      </c>
      <c r="C12" s="10">
        <f>INDEX('04_Pillar_Calculation'!D5:D28,COUNTA('04_Pillar_Calculation'!A5:A28))</f>
        <v/>
      </c>
      <c r="D12" s="10">
        <f>INDEX('04_Pillar_Calculation'!L5:L28,COUNTA('04_Pillar_Calculation'!A5:A28))</f>
        <v/>
      </c>
      <c r="E12" s="11">
        <f>D12/$D$17</f>
        <v/>
      </c>
      <c r="F12" s="12">
        <f>IF(C12&gt;=65,"Favorable",IF(C12&gt;=50,"Neutral","Unfavorable"))</f>
        <v/>
      </c>
    </row>
    <row r="13">
      <c r="A13" s="8" t="inlineStr">
        <is>
          <t>Valuation &amp; Leverage</t>
        </is>
      </c>
      <c r="B13" s="9">
        <f>'01_Model_Config'!C8</f>
        <v/>
      </c>
      <c r="C13" s="10">
        <f>INDEX('04_Pillar_Calculation'!E5:E28,COUNTA('04_Pillar_Calculation'!A5:A28))</f>
        <v/>
      </c>
      <c r="D13" s="10">
        <f>INDEX('04_Pillar_Calculation'!M5:M28,COUNTA('04_Pillar_Calculation'!A5:A28))</f>
        <v/>
      </c>
      <c r="E13" s="11">
        <f>D13/$D$17</f>
        <v/>
      </c>
      <c r="F13" s="12">
        <f>IF(C13&gt;=65,"Favorable",IF(C13&gt;=50,"Neutral","Unfavorable"))</f>
        <v/>
      </c>
    </row>
    <row r="14">
      <c r="A14" s="13" t="inlineStr">
        <is>
          <t>Econometric Models</t>
        </is>
      </c>
      <c r="B14" s="9">
        <f>'01_Model_Config'!C9</f>
        <v/>
      </c>
      <c r="C14" s="10">
        <f>INDEX('04_Pillar_Calculation'!F5:F28,COUNTA('04_Pillar_Calculation'!A5:A28))</f>
        <v/>
      </c>
      <c r="D14" s="10">
        <f>INDEX('04_Pillar_Calculation'!N5:N28,COUNTA('04_Pillar_Calculation'!A5:A28))</f>
        <v/>
      </c>
      <c r="E14" s="11">
        <f>D14/$D$17</f>
        <v/>
      </c>
      <c r="F14" s="12">
        <f>IF(C14&gt;=65,"Favorable",IF(C14&gt;=50,"Neutral","Unfavorable"))</f>
        <v/>
      </c>
    </row>
    <row r="15">
      <c r="A15" s="8" t="inlineStr">
        <is>
          <t>Machine Learning</t>
        </is>
      </c>
      <c r="B15" s="9">
        <f>'01_Model_Config'!C10</f>
        <v/>
      </c>
      <c r="C15" s="10">
        <f>INDEX('04_Pillar_Calculation'!G5:G28,COUNTA('04_Pillar_Calculation'!A5:A28))</f>
        <v/>
      </c>
      <c r="D15" s="10">
        <f>INDEX('04_Pillar_Calculation'!O5:O28,COUNTA('04_Pillar_Calculation'!A5:A28))</f>
        <v/>
      </c>
      <c r="E15" s="11">
        <f>D15/$D$17</f>
        <v/>
      </c>
      <c r="F15" s="12">
        <f>IF(C15&gt;=65,"Favorable",IF(C15&gt;=50,"Neutral","Unfavorable"))</f>
        <v/>
      </c>
    </row>
    <row r="16">
      <c r="A16" s="13" t="inlineStr">
        <is>
          <t>Market Structure</t>
        </is>
      </c>
      <c r="B16" s="9">
        <f>'01_Model_Config'!C11</f>
        <v/>
      </c>
      <c r="C16" s="10">
        <f>INDEX('04_Pillar_Calculation'!H5:H28,COUNTA('04_Pillar_Calculation'!A5:A28))</f>
        <v/>
      </c>
      <c r="D16" s="10">
        <f>INDEX('04_Pillar_Calculation'!P5:P28,COUNTA('04_Pillar_Calculation'!A5:A28))</f>
        <v/>
      </c>
      <c r="E16" s="11">
        <f>D16/$D$17</f>
        <v/>
      </c>
      <c r="F16" s="12">
        <f>IF(C16&gt;=65,"Favorable",IF(C16&gt;=50,"Neutral","Unfavorable"))</f>
        <v/>
      </c>
    </row>
    <row r="17">
      <c r="A17" s="8" t="inlineStr">
        <is>
          <t>COMPOSITE TOTAL</t>
        </is>
      </c>
      <c r="B17" s="9">
        <f>SUM(B11:B16)</f>
        <v/>
      </c>
      <c r="C17" s="12">
        <f>SUMPRODUCT(B11:B16,C11:C16)</f>
        <v/>
      </c>
      <c r="D17" s="12">
        <f>SUM(D11:D16)</f>
        <v/>
      </c>
      <c r="E17" s="11">
        <f>SUM(E11:E16)</f>
        <v/>
      </c>
      <c r="F17" s="12">
        <f>INDEX('05_Composite_Calibration'!E5:E28,COUNTA('05_Composite_Calibration'!A5:A28))</f>
        <v/>
      </c>
    </row>
    <row r="18"/>
    <row r="19"/>
    <row r="20">
      <c r="A20" s="6" t="inlineStr">
        <is>
          <t>BACKTEST &amp; SIGNAL EFFICACY SUMMARY</t>
        </is>
      </c>
    </row>
    <row r="21" ht="32" customHeight="1">
      <c r="A21" s="7" t="inlineStr">
        <is>
          <t>Metric</t>
        </is>
      </c>
      <c r="B21" s="7" t="inlineStr">
        <is>
          <t>Formula Result</t>
        </is>
      </c>
      <c r="C21" s="7" t="inlineStr">
        <is>
          <t>Acceptance Reference</t>
        </is>
      </c>
      <c r="D21" s="7" t="inlineStr">
        <is>
          <t>Interpretation</t>
        </is>
      </c>
    </row>
    <row r="22">
      <c r="A22" s="13" t="inlineStr">
        <is>
          <t>Strategy CAGR</t>
        </is>
      </c>
      <c r="B22" s="14">
        <f>'10_Backtest_Efficacy'!B33</f>
        <v/>
      </c>
      <c r="C22" s="15" t="inlineStr">
        <is>
          <t>≈ 5.74%</t>
        </is>
      </c>
      <c r="D22" s="15" t="inlineStr">
        <is>
          <t>Annualized dashboard-compatible strategy return</t>
        </is>
      </c>
    </row>
    <row r="23">
      <c r="A23" s="8" t="inlineStr">
        <is>
          <t>Maximum Drawdown</t>
        </is>
      </c>
      <c r="B23" s="14">
        <f>'10_Backtest_Efficacy'!B34</f>
        <v/>
      </c>
      <c r="C23" s="16" t="inlineStr">
        <is>
          <t>≈ -9.02%</t>
        </is>
      </c>
      <c r="D23" s="16" t="inlineStr">
        <is>
          <t>Worst peak-to-trough strategy decline</t>
        </is>
      </c>
    </row>
    <row r="24">
      <c r="A24" s="13" t="inlineStr">
        <is>
          <t>Annualized Volatility</t>
        </is>
      </c>
      <c r="B24" s="14">
        <f>'10_Backtest_Efficacy'!B35</f>
        <v/>
      </c>
      <c r="C24" s="15" t="inlineStr">
        <is>
          <t>≈ 7.70%</t>
        </is>
      </c>
      <c r="D24" s="15" t="inlineStr">
        <is>
          <t>Quarterly volatility annualized by √4</t>
        </is>
      </c>
    </row>
    <row r="25">
      <c r="A25" s="8" t="inlineStr">
        <is>
          <t>Sharpe Ratio</t>
        </is>
      </c>
      <c r="B25" s="17">
        <f>'10_Backtest_Efficacy'!B36</f>
        <v/>
      </c>
      <c r="C25" s="16" t="inlineStr">
        <is>
          <t>≈ 0.16</t>
        </is>
      </c>
      <c r="D25" s="16" t="inlineStr">
        <is>
          <t>CAGR less configured risk-free rate, divided by volatility</t>
        </is>
      </c>
    </row>
    <row r="26">
      <c r="A26" s="13" t="inlineStr">
        <is>
          <t>Spearman Rank IC</t>
        </is>
      </c>
      <c r="B26" s="17">
        <f>'10_Backtest_Efficacy'!B37</f>
        <v/>
      </c>
      <c r="C26" s="15" t="inlineStr">
        <is>
          <t>≈ 0.1927</t>
        </is>
      </c>
      <c r="D26" s="15" t="inlineStr">
        <is>
          <t>Raw score rank vs strict point-in-time quarter return rank</t>
        </is>
      </c>
    </row>
    <row r="27">
      <c r="A27" s="8" t="inlineStr">
        <is>
          <t>Directional Hit Rate</t>
        </is>
      </c>
      <c r="B27" s="14">
        <f>'10_Backtest_Efficacy'!B38</f>
        <v/>
      </c>
      <c r="C27" s="16" t="inlineStr">
        <is>
          <t>Formula</t>
        </is>
      </c>
      <c r="D27" s="16" t="inlineStr">
        <is>
          <t>Action-direction agreement with dashboard forward return</t>
        </is>
      </c>
    </row>
  </sheetData>
  <pageMargins left="0.75" right="0.75" top="1" bottom="1" header="0.5" footer="0.5"/>
  <pageSetup fitToHeight="0" fitToWidth="1"/>
</worksheet>
</file>

<file path=xl/worksheets/sheet2.xml><?xml version="1.0" encoding="utf-8"?>
<worksheet xmlns="http://schemas.openxmlformats.org/spreadsheetml/2006/main">
  <sheetPr>
    <tabColor rgb="002563EB"/>
    <outlinePr summaryBelow="1" summaryRight="1"/>
    <pageSetUpPr fitToPage="1"/>
  </sheetPr>
  <dimension ref="A1:G42"/>
  <sheetViews>
    <sheetView showGridLines="0" workbookViewId="0">
      <pane ySplit="4" topLeftCell="A5" activePane="bottomLeft" state="frozen"/>
      <selection pane="bottomLeft" activeCell="A1" sqref="A1"/>
    </sheetView>
  </sheetViews>
  <sheetFormatPr baseColWidth="8" defaultRowHeight="15"/>
  <cols>
    <col width="42" customWidth="1" min="1" max="1"/>
    <col width="22" customWidth="1" min="2" max="2"/>
    <col width="42" customWidth="1" min="3" max="3"/>
    <col width="41" customWidth="1" min="4" max="4"/>
    <col width="22" customWidth="1" min="5" max="5"/>
    <col width="18" customWidth="1" min="6" max="6"/>
    <col width="22" customWidth="1" min="7" max="7"/>
  </cols>
  <sheetData>
    <row r="1">
      <c r="A1" s="1" t="inlineStr">
        <is>
          <t>VN-INDEX MODEL CONFIGURATION — SINGLE SOURCE OF TRUTH</t>
        </is>
      </c>
    </row>
    <row r="2">
      <c r="A2" s="2" t="inlineStr">
        <is>
          <t>Weights, score bands, calibration parameters, signal gains and backtest assumptions</t>
        </is>
      </c>
    </row>
    <row r="3"/>
    <row r="4">
      <c r="A4" s="6" t="inlineStr">
        <is>
          <t>1. PILLAR WEIGHTS</t>
        </is>
      </c>
    </row>
    <row r="5" ht="32" customHeight="1">
      <c r="A5" s="18" t="inlineStr">
        <is>
          <t>Pillar Code</t>
        </is>
      </c>
      <c r="B5" s="18" t="inlineStr">
        <is>
          <t>Pillar Name</t>
        </is>
      </c>
      <c r="C5" s="18" t="inlineStr">
        <is>
          <t>Weight</t>
        </is>
      </c>
      <c r="D5" s="18" t="inlineStr">
        <is>
          <t>Primary Inputs</t>
        </is>
      </c>
    </row>
    <row r="6">
      <c r="A6" s="13" t="inlineStr">
        <is>
          <t>macro_monetary</t>
        </is>
      </c>
      <c r="B6" s="13" t="inlineStr">
        <is>
          <t>Macro &amp; Monetary</t>
        </is>
      </c>
      <c r="C6" s="19" t="n">
        <v>0.25</v>
      </c>
      <c r="D6" s="15" t="inlineStr">
        <is>
          <t>Rates, FX, M2 and sovereign curve</t>
        </is>
      </c>
    </row>
    <row r="7">
      <c r="A7" s="8" t="inlineStr">
        <is>
          <t>global_intermarket</t>
        </is>
      </c>
      <c r="B7" s="8" t="inlineStr">
        <is>
          <t>Global &amp; Intermarket</t>
        </is>
      </c>
      <c r="C7" s="20" t="n">
        <v>0.2</v>
      </c>
      <c r="D7" s="16" t="inlineStr">
        <is>
          <t>DXY, US10Y, foreign flows, JPY and oil</t>
        </is>
      </c>
    </row>
    <row r="8">
      <c r="A8" s="13" t="inlineStr">
        <is>
          <t>valuation_leverage</t>
        </is>
      </c>
      <c r="B8" s="13" t="inlineStr">
        <is>
          <t>Valuation &amp; Leverage</t>
        </is>
      </c>
      <c r="C8" s="19" t="n">
        <v>0.2</v>
      </c>
      <c r="D8" s="15" t="inlineStr">
        <is>
          <t>P/E, P/B, EYG and margin risk</t>
        </is>
      </c>
    </row>
    <row r="9">
      <c r="A9" s="8" t="inlineStr">
        <is>
          <t>quant_model</t>
        </is>
      </c>
      <c r="B9" s="8" t="inlineStr">
        <is>
          <t>Econometric Models</t>
        </is>
      </c>
      <c r="C9" s="20" t="n">
        <v>0.15</v>
      </c>
      <c r="D9" s="16" t="inlineStr">
        <is>
          <t>MLR, VAR and Granger causality</t>
        </is>
      </c>
    </row>
    <row r="10">
      <c r="A10" s="13" t="inlineStr">
        <is>
          <t>ml_forecast</t>
        </is>
      </c>
      <c r="B10" s="13" t="inlineStr">
        <is>
          <t>Machine Learning</t>
        </is>
      </c>
      <c r="C10" s="19" t="n">
        <v>0.1</v>
      </c>
      <c r="D10" s="15" t="inlineStr">
        <is>
          <t>XGBoost walk-forward quality and signal</t>
        </is>
      </c>
    </row>
    <row r="11">
      <c r="A11" s="8" t="inlineStr">
        <is>
          <t>market_structure</t>
        </is>
      </c>
      <c r="B11" s="8" t="inlineStr">
        <is>
          <t>Market Structure</t>
        </is>
      </c>
      <c r="C11" s="20" t="n">
        <v>0.1</v>
      </c>
      <c r="D11" s="16" t="inlineStr">
        <is>
          <t>FTSE, ADTV and ETF flows</t>
        </is>
      </c>
    </row>
    <row r="12">
      <c r="A12" s="13" t="inlineStr">
        <is>
          <t>TOTAL WEIGHT</t>
        </is>
      </c>
      <c r="B12" s="13" t="n"/>
      <c r="C12" s="11">
        <f>SUM(C6:C11)</f>
        <v/>
      </c>
      <c r="D12" s="15" t="inlineStr">
        <is>
          <t>Must equal 100%</t>
        </is>
      </c>
    </row>
    <row r="13"/>
    <row r="14">
      <c r="A14" s="6" t="inlineStr">
        <is>
          <t>2. SCORE BANDS &amp; ALLOCATION MATRIX</t>
        </is>
      </c>
    </row>
    <row r="15" ht="32" customHeight="1">
      <c r="A15" s="18" t="inlineStr">
        <is>
          <t>Minimum</t>
        </is>
      </c>
      <c r="B15" s="18" t="inlineStr">
        <is>
          <t>Maximum</t>
        </is>
      </c>
      <c r="C15" s="18" t="inlineStr">
        <is>
          <t>Action</t>
        </is>
      </c>
      <c r="D15" s="18" t="inlineStr">
        <is>
          <t>Emoji</t>
        </is>
      </c>
      <c r="E15" s="18" t="inlineStr">
        <is>
          <t>Suggested Allocation</t>
        </is>
      </c>
      <c r="F15" s="18" t="inlineStr">
        <is>
          <t>Model Mid-Weight</t>
        </is>
      </c>
      <c r="G15" s="18" t="inlineStr">
        <is>
          <t>Risk Posture</t>
        </is>
      </c>
    </row>
    <row r="16">
      <c r="A16" s="13" t="n">
        <v>80</v>
      </c>
      <c r="B16" s="13" t="n">
        <v>100</v>
      </c>
      <c r="C16" s="15" t="inlineStr">
        <is>
          <t>BUY</t>
        </is>
      </c>
      <c r="D16" s="15" t="inlineStr">
        <is>
          <t>🟢</t>
        </is>
      </c>
      <c r="E16" s="15" t="inlineStr">
        <is>
          <t>85–100% Equities</t>
        </is>
      </c>
      <c r="F16" s="19" t="n">
        <v>0.925</v>
      </c>
      <c r="G16" s="15" t="inlineStr">
        <is>
          <t>Aggressive risk-on</t>
        </is>
      </c>
    </row>
    <row r="17">
      <c r="A17" s="8" t="n">
        <v>65</v>
      </c>
      <c r="B17" s="8" t="n">
        <v>79.9999</v>
      </c>
      <c r="C17" s="16" t="inlineStr">
        <is>
          <t>ACCUMULATE</t>
        </is>
      </c>
      <c r="D17" s="16" t="inlineStr">
        <is>
          <t>🔵</t>
        </is>
      </c>
      <c r="E17" s="16" t="inlineStr">
        <is>
          <t>70–85% Equities</t>
        </is>
      </c>
      <c r="F17" s="20" t="n">
        <v>0.775</v>
      </c>
      <c r="G17" s="16" t="inlineStr">
        <is>
          <t>Constructive risk-on</t>
        </is>
      </c>
    </row>
    <row r="18">
      <c r="A18" s="13" t="n">
        <v>50</v>
      </c>
      <c r="B18" s="13" t="n">
        <v>64.9999</v>
      </c>
      <c r="C18" s="15" t="inlineStr">
        <is>
          <t>HOLD</t>
        </is>
      </c>
      <c r="D18" s="15" t="inlineStr">
        <is>
          <t>🟡</t>
        </is>
      </c>
      <c r="E18" s="15" t="inlineStr">
        <is>
          <t>40–60% Equities</t>
        </is>
      </c>
      <c r="F18" s="19" t="n">
        <v>0.5</v>
      </c>
      <c r="G18" s="15" t="inlineStr">
        <is>
          <t>Balanced / neutral</t>
        </is>
      </c>
    </row>
    <row r="19">
      <c r="A19" s="8" t="n">
        <v>35</v>
      </c>
      <c r="B19" s="8" t="n">
        <v>49.9999</v>
      </c>
      <c r="C19" s="16" t="inlineStr">
        <is>
          <t>REDUCE</t>
        </is>
      </c>
      <c r="D19" s="16" t="inlineStr">
        <is>
          <t>🟠</t>
        </is>
      </c>
      <c r="E19" s="16" t="inlineStr">
        <is>
          <t>20–40% Equities</t>
        </is>
      </c>
      <c r="F19" s="20" t="n">
        <v>0.3</v>
      </c>
      <c r="G19" s="16" t="inlineStr">
        <is>
          <t>Defensive</t>
        </is>
      </c>
    </row>
    <row r="20">
      <c r="A20" s="13" t="n">
        <v>0</v>
      </c>
      <c r="B20" s="13" t="n">
        <v>34.9999</v>
      </c>
      <c r="C20" s="15" t="inlineStr">
        <is>
          <t>SELL</t>
        </is>
      </c>
      <c r="D20" s="15" t="inlineStr">
        <is>
          <t>🔴</t>
        </is>
      </c>
      <c r="E20" s="15" t="inlineStr">
        <is>
          <t>0–20% Equities</t>
        </is>
      </c>
      <c r="F20" s="19" t="n">
        <v>0.1</v>
      </c>
      <c r="G20" s="15" t="inlineStr">
        <is>
          <t>Capital preservation</t>
        </is>
      </c>
    </row>
    <row r="21"/>
    <row r="22">
      <c r="A22" s="6" t="inlineStr">
        <is>
          <t>3. EXPANDING CALIBRATION PARAMETERS (v2 — winsorized, guard-railed)</t>
        </is>
      </c>
    </row>
    <row r="23" ht="32" customHeight="1">
      <c r="A23" s="7" t="inlineStr">
        <is>
          <t>Parameter</t>
        </is>
      </c>
      <c r="B23" s="7" t="inlineStr">
        <is>
          <t>Value</t>
        </is>
      </c>
      <c r="C23" s="7" t="inlineStr">
        <is>
          <t>Role</t>
        </is>
      </c>
    </row>
    <row r="24">
      <c r="A24" s="13" t="inlineStr">
        <is>
          <t>center</t>
        </is>
      </c>
      <c r="B24" s="13" t="n">
        <v>50</v>
      </c>
      <c r="C24" s="15" t="inlineStr">
        <is>
          <t>Calibrated-score center</t>
        </is>
      </c>
    </row>
    <row r="25">
      <c r="A25" s="8" t="inlineStr">
        <is>
          <t>z_scale</t>
        </is>
      </c>
      <c r="B25" s="8" t="n">
        <v>15</v>
      </c>
      <c r="C25" s="16" t="inlineStr">
        <is>
          <t>Points per historical σ</t>
        </is>
      </c>
    </row>
    <row r="26">
      <c r="A26" s="13" t="inlineStr">
        <is>
          <t>min_history</t>
        </is>
      </c>
      <c r="B26" s="13" t="n">
        <v>4</v>
      </c>
      <c r="C26" s="15" t="inlineStr">
        <is>
          <t>Required prior quarters</t>
        </is>
      </c>
    </row>
    <row r="27">
      <c r="A27" s="8" t="inlineStr">
        <is>
          <t>clip_low</t>
        </is>
      </c>
      <c r="B27" s="8" t="n">
        <v>0</v>
      </c>
      <c r="C27" s="16" t="inlineStr">
        <is>
          <t>Score floor</t>
        </is>
      </c>
    </row>
    <row r="28">
      <c r="A28" s="13" t="inlineStr">
        <is>
          <t>clip_high</t>
        </is>
      </c>
      <c r="B28" s="13" t="n">
        <v>100</v>
      </c>
      <c r="C28" s="15" t="inlineStr">
        <is>
          <t>Score cap</t>
        </is>
      </c>
    </row>
    <row r="29"/>
    <row r="30">
      <c r="A30" s="6" t="inlineStr">
        <is>
          <t>4. MODEL GAINS &amp; BACKTEST ASSUMPTIONS</t>
        </is>
      </c>
    </row>
    <row r="31" ht="32" customHeight="1">
      <c r="A31" s="7" t="inlineStr">
        <is>
          <t>Parameter</t>
        </is>
      </c>
      <c r="B31" s="7" t="inlineStr">
        <is>
          <t>Value</t>
        </is>
      </c>
      <c r="C31" s="7" t="inlineStr">
        <is>
          <t>Formula / Interpretation</t>
        </is>
      </c>
    </row>
    <row r="32">
      <c r="A32" s="13" t="inlineStr">
        <is>
          <t>MLR gain</t>
        </is>
      </c>
      <c r="B32" s="13" t="n">
        <v>20000</v>
      </c>
      <c r="C32" s="15" t="inlineStr">
        <is>
          <t>50 + forecast/day × gain</t>
        </is>
      </c>
    </row>
    <row r="33">
      <c r="A33" s="8" t="inlineStr">
        <is>
          <t>VAR gain</t>
        </is>
      </c>
      <c r="B33" s="8" t="n">
        <v>5000</v>
      </c>
      <c r="C33" s="16" t="inlineStr">
        <is>
          <t>50 + T+5 return × gain</t>
        </is>
      </c>
    </row>
    <row r="34">
      <c r="A34" s="13" t="inlineStr">
        <is>
          <t>Periods per year</t>
        </is>
      </c>
      <c r="B34" s="13" t="n">
        <v>4</v>
      </c>
      <c r="C34" s="15" t="inlineStr">
        <is>
          <t>Quarterly annualization</t>
        </is>
      </c>
    </row>
    <row r="35">
      <c r="A35" s="8" t="inlineStr">
        <is>
          <t>Initial NAV</t>
        </is>
      </c>
      <c r="B35" s="8" t="n">
        <v>100</v>
      </c>
      <c r="C35" s="16" t="inlineStr">
        <is>
          <t>Strategy and benchmark base</t>
        </is>
      </c>
    </row>
    <row r="36">
      <c r="A36" s="13" t="inlineStr">
        <is>
          <t>Risk-free rate</t>
        </is>
      </c>
      <c r="B36" s="21" t="n">
        <v>0.045</v>
      </c>
      <c r="C36" s="15" t="inlineStr">
        <is>
          <t>Annual Sharpe hurdle</t>
        </is>
      </c>
    </row>
    <row r="37"/>
    <row r="38">
      <c r="A38" s="6" t="inlineStr">
        <is>
          <t>5. CALIBRATION v2 ROBUSTNESS GUARDS</t>
        </is>
      </c>
    </row>
    <row r="39" ht="32" customHeight="1">
      <c r="A39" s="7" t="inlineStr">
        <is>
          <t>Parameter</t>
        </is>
      </c>
      <c r="B39" s="7" t="inlineStr">
        <is>
          <t>Value</t>
        </is>
      </c>
      <c r="C39" s="7" t="inlineStr">
        <is>
          <t>Role</t>
        </is>
      </c>
    </row>
    <row r="40">
      <c r="A40" s="13" t="inlineStr">
        <is>
          <t>min_std</t>
        </is>
      </c>
      <c r="B40" s="13" t="n">
        <v>5</v>
      </c>
      <c r="C40" s="15" t="inlineStr">
        <is>
          <t>σ prior floor: tiny-sample σ cannot inflate z (floor ≈ long-run composite dispersion)</t>
        </is>
      </c>
    </row>
    <row r="41">
      <c r="A41" s="8" t="inlineStr">
        <is>
          <t>z_cap</t>
        </is>
      </c>
      <c r="B41" s="8" t="n">
        <v>3</v>
      </c>
      <c r="C41" s="16" t="inlineStr">
        <is>
          <t>Winsorise z at ±3σ → response saturates near 5/95; 0/100 unreachable</t>
        </is>
      </c>
    </row>
    <row r="42">
      <c r="A42" s="13" t="inlineStr">
        <is>
          <t>max_dist_from_raw</t>
        </is>
      </c>
      <c r="B42" s="13" t="n">
        <v>25</v>
      </c>
      <c r="C42" s="15" t="inlineStr">
        <is>
          <t>Action signal may not deviate more than ±25 pts from the raw composite</t>
        </is>
      </c>
    </row>
  </sheetData>
  <pageMargins left="0.75" right="0.75" top="1" bottom="1" header="0.5" footer="0.5"/>
  <pageSetup fitToHeight="0" fitToWidth="1"/>
</worksheet>
</file>

<file path=xl/worksheets/sheet3.xml><?xml version="1.0" encoding="utf-8"?>
<worksheet xmlns="http://schemas.openxmlformats.org/spreadsheetml/2006/main">
  <sheetPr>
    <tabColor rgb="00047857"/>
    <outlinePr summaryBelow="1" summaryRight="1"/>
    <pageSetUpPr fitToPage="1"/>
  </sheetPr>
  <dimension ref="A1:Z2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22" customWidth="1" min="3" max="3"/>
    <col width="27" customWidth="1" min="4" max="4"/>
    <col width="19" customWidth="1" min="5" max="5"/>
    <col width="23" customWidth="1" min="6" max="6"/>
    <col width="19" customWidth="1" min="7" max="7"/>
    <col width="20" customWidth="1" min="8" max="8"/>
    <col width="21" customWidth="1" min="9" max="9"/>
    <col width="11" customWidth="1" min="10" max="10"/>
    <col width="20" customWidth="1" min="11" max="11"/>
    <col width="19" customWidth="1" min="12" max="12"/>
    <col width="21" customWidth="1" min="13" max="13"/>
    <col width="21" customWidth="1" min="14" max="14"/>
    <col width="21" customWidth="1" min="15" max="15"/>
    <col width="19" customWidth="1" min="16" max="16"/>
    <col width="22" customWidth="1" min="17" max="17"/>
    <col width="22" customWidth="1" min="18" max="18"/>
    <col width="19" customWidth="1" min="19" max="19"/>
    <col width="23" customWidth="1" min="20" max="20"/>
    <col width="21" customWidth="1" min="21" max="21"/>
    <col width="22" customWidth="1" min="22" max="22"/>
    <col width="13" customWidth="1" min="23" max="23"/>
    <col width="17" customWidth="1" min="24" max="24"/>
    <col width="22" customWidth="1" min="25" max="25"/>
    <col width="22" customWidth="1" min="26" max="26"/>
  </cols>
  <sheetData>
    <row r="1">
      <c r="A1" s="1" t="inlineStr">
        <is>
          <t>POINT-IN-TIME MARKET &amp; MODEL INPUT LEDGER</t>
        </is>
      </c>
    </row>
    <row r="2">
      <c r="A2" s="2" t="inlineStr">
        <is>
          <t>Every Quarter t input is dated at the last available session of t−1; the separate outcome close is never used in scoring</t>
        </is>
      </c>
    </row>
    <row r="3"/>
    <row r="4" ht="32" customHeight="1">
      <c r="A4" s="18" t="inlineStr">
        <is>
          <t>Quarter</t>
        </is>
      </c>
      <c r="B4" s="18" t="inlineStr">
        <is>
          <t>As-of Date</t>
        </is>
      </c>
      <c r="C4" s="18" t="inlineStr">
        <is>
          <t>As-of VN-Index Close</t>
        </is>
      </c>
      <c r="D4" s="18" t="inlineStr">
        <is>
          <t>Quarter-End Outcome Close</t>
        </is>
      </c>
      <c r="E4" s="18" t="inlineStr">
        <is>
          <t>VN1Y %</t>
        </is>
      </c>
      <c r="F4" s="18" t="inlineStr">
        <is>
          <t>ΔVN1Y pp</t>
        </is>
      </c>
      <c r="G4" s="18" t="inlineStr">
        <is>
          <t>VN10Y %</t>
        </is>
      </c>
      <c r="H4" s="18" t="inlineStr">
        <is>
          <t>Spread pp</t>
        </is>
      </c>
      <c r="I4" s="18" t="inlineStr">
        <is>
          <t>USD/VND Z</t>
        </is>
      </c>
      <c r="J4" s="18" t="inlineStr">
        <is>
          <t>M2 YoY %</t>
        </is>
      </c>
      <c r="K4" s="18" t="inlineStr">
        <is>
          <t>DXY Z</t>
        </is>
      </c>
      <c r="L4" s="18" t="inlineStr">
        <is>
          <t>US10Y %</t>
        </is>
      </c>
      <c r="M4" s="18" t="inlineStr">
        <is>
          <t>NFF Z</t>
        </is>
      </c>
      <c r="N4" s="18" t="inlineStr">
        <is>
          <t>NFF % MC</t>
        </is>
      </c>
      <c r="O4" s="18" t="inlineStr">
        <is>
          <t>USD/JPY Z</t>
        </is>
      </c>
      <c r="P4" s="18" t="inlineStr">
        <is>
          <t>Oil Shock</t>
        </is>
      </c>
      <c r="Q4" s="18" t="inlineStr">
        <is>
          <t>P/E Z</t>
        </is>
      </c>
      <c r="R4" s="18" t="inlineStr">
        <is>
          <t>P/B Z</t>
        </is>
      </c>
      <c r="S4" s="18" t="inlineStr">
        <is>
          <t>Margin Risk</t>
        </is>
      </c>
      <c r="T4" s="18" t="inlineStr">
        <is>
          <t>EYG Z</t>
        </is>
      </c>
      <c r="U4" s="18" t="inlineStr">
        <is>
          <t>Valuation Composite</t>
        </is>
      </c>
      <c r="V4" s="18" t="inlineStr">
        <is>
          <t>ADTV QoQ</t>
        </is>
      </c>
      <c r="W4" s="18" t="inlineStr">
        <is>
          <t>FTSE Status</t>
        </is>
      </c>
      <c r="X4" s="18" t="inlineStr">
        <is>
          <t>Months to Rebal</t>
        </is>
      </c>
      <c r="Y4" s="18" t="inlineStr">
        <is>
          <t>ETF Flow Z</t>
        </is>
      </c>
      <c r="Z4" s="18" t="inlineStr">
        <is>
          <t>ETF % MC</t>
        </is>
      </c>
    </row>
    <row r="5">
      <c r="A5" s="8" t="inlineStr">
        <is>
          <t>2021-Q1</t>
        </is>
      </c>
      <c r="B5" s="8" t="inlineStr">
        <is>
          <t>2020-12-31</t>
        </is>
      </c>
      <c r="C5" s="22" t="n">
        <v>1103.87</v>
      </c>
      <c r="D5" s="22" t="n">
        <v>1191.44</v>
      </c>
      <c r="E5" s="23" t="n">
        <v>0.4326</v>
      </c>
      <c r="F5" s="23" t="n">
        <v>-0.06417399999999999</v>
      </c>
      <c r="G5" s="23" t="n">
        <v>2.0246</v>
      </c>
      <c r="H5" s="23" t="n">
        <v>1.3872</v>
      </c>
      <c r="I5" s="23" t="n">
        <v>-2.68</v>
      </c>
      <c r="J5" s="23" t="n">
        <v>14.53</v>
      </c>
      <c r="K5" s="23" t="n">
        <v>-1.57</v>
      </c>
      <c r="L5" s="23" t="n">
        <v>0.92</v>
      </c>
      <c r="M5" s="23" t="n">
        <v>-2.4315</v>
      </c>
      <c r="N5" s="23" t="n">
        <v>-0.4358</v>
      </c>
      <c r="O5" s="23" t="n">
        <v>-1.76</v>
      </c>
      <c r="P5" s="23" t="n">
        <v>20.7</v>
      </c>
      <c r="Q5" s="23" t="n"/>
      <c r="R5" s="23" t="n"/>
      <c r="S5" s="23" t="n">
        <v>0</v>
      </c>
      <c r="T5" s="23" t="n"/>
      <c r="U5" s="23" t="n"/>
      <c r="V5" s="24" t="n">
        <v>0.606722</v>
      </c>
      <c r="W5" s="16" t="inlineStr">
        <is>
          <t>unknown</t>
        </is>
      </c>
      <c r="X5" s="16" t="n">
        <v>3</v>
      </c>
      <c r="Y5" s="23" t="n">
        <v>1.8116</v>
      </c>
      <c r="Z5" s="24" t="n">
        <v>0.0559</v>
      </c>
    </row>
    <row r="6">
      <c r="A6" s="13" t="inlineStr">
        <is>
          <t>2021-Q2</t>
        </is>
      </c>
      <c r="B6" s="13" t="inlineStr">
        <is>
          <t>2021-03-31</t>
        </is>
      </c>
      <c r="C6" s="25" t="n">
        <v>1191.44</v>
      </c>
      <c r="D6" s="25" t="n">
        <v>1408.55</v>
      </c>
      <c r="E6" s="26" t="n">
        <v>0.464</v>
      </c>
      <c r="F6" s="26" t="n">
        <v>-0.013805</v>
      </c>
      <c r="G6" s="26" t="n">
        <v>2.2209</v>
      </c>
      <c r="H6" s="26" t="n">
        <v>1.669</v>
      </c>
      <c r="I6" s="26" t="n">
        <v>0.6</v>
      </c>
      <c r="J6" s="26" t="n">
        <v>14.53</v>
      </c>
      <c r="K6" s="26" t="n">
        <v>2.39</v>
      </c>
      <c r="L6" s="26" t="n">
        <v>1.75</v>
      </c>
      <c r="M6" s="26" t="n">
        <v>-4.0648</v>
      </c>
      <c r="N6" s="26" t="n">
        <v>-0.9813</v>
      </c>
      <c r="O6" s="26" t="n">
        <v>1.95</v>
      </c>
      <c r="P6" s="26" t="n">
        <v>19.9</v>
      </c>
      <c r="Q6" s="26" t="n"/>
      <c r="R6" s="26" t="n"/>
      <c r="S6" s="26" t="n">
        <v>4</v>
      </c>
      <c r="T6" s="26" t="n"/>
      <c r="U6" s="26" t="n"/>
      <c r="V6" s="27" t="n">
        <v>0.422295</v>
      </c>
      <c r="W6" s="15" t="inlineStr">
        <is>
          <t>unknown</t>
        </is>
      </c>
      <c r="X6" s="15" t="n">
        <v>3</v>
      </c>
      <c r="Y6" s="26" t="n">
        <v>5.9155</v>
      </c>
      <c r="Z6" s="27" t="n">
        <v>0.1566</v>
      </c>
    </row>
    <row r="7">
      <c r="A7" s="8" t="inlineStr">
        <is>
          <t>2021-Q3</t>
        </is>
      </c>
      <c r="B7" s="8" t="inlineStr">
        <is>
          <t>2021-06-30</t>
        </is>
      </c>
      <c r="C7" s="22" t="n">
        <v>1408.55</v>
      </c>
      <c r="D7" s="22" t="n">
        <v>1342.06</v>
      </c>
      <c r="E7" s="23" t="n">
        <v>0.5013</v>
      </c>
      <c r="F7" s="23" t="n">
        <v>0.001505</v>
      </c>
      <c r="G7" s="23" t="n">
        <v>2.057</v>
      </c>
      <c r="H7" s="23" t="n">
        <v>1.3519</v>
      </c>
      <c r="I7" s="23" t="n">
        <v>0.18</v>
      </c>
      <c r="J7" s="23" t="n">
        <v>14.53</v>
      </c>
      <c r="K7" s="23" t="n">
        <v>1.96</v>
      </c>
      <c r="L7" s="23" t="n">
        <v>1.44</v>
      </c>
      <c r="M7" s="23" t="n">
        <v>-0.5589</v>
      </c>
      <c r="N7" s="23" t="n">
        <v>-0.3302</v>
      </c>
      <c r="O7" s="23" t="n">
        <v>1.5</v>
      </c>
      <c r="P7" s="23" t="n">
        <v>12</v>
      </c>
      <c r="Q7" s="23" t="n"/>
      <c r="R7" s="23" t="n"/>
      <c r="S7" s="23" t="n">
        <v>0</v>
      </c>
      <c r="T7" s="23" t="n"/>
      <c r="U7" s="23" t="n"/>
      <c r="V7" s="24" t="n">
        <v>0.111991</v>
      </c>
      <c r="W7" s="16" t="inlineStr">
        <is>
          <t>unknown</t>
        </is>
      </c>
      <c r="X7" s="16" t="n">
        <v>3</v>
      </c>
      <c r="Y7" s="23" t="n">
        <v>0.4047</v>
      </c>
      <c r="Z7" s="24" t="n">
        <v>0.0557</v>
      </c>
    </row>
    <row r="8">
      <c r="A8" s="13" t="inlineStr">
        <is>
          <t>2021-Q4</t>
        </is>
      </c>
      <c r="B8" s="13" t="inlineStr">
        <is>
          <t>2021-09-30</t>
        </is>
      </c>
      <c r="C8" s="25" t="n">
        <v>1342.06</v>
      </c>
      <c r="D8" s="25" t="n">
        <v>1498.28</v>
      </c>
      <c r="E8" s="26" t="n">
        <v>0.5017</v>
      </c>
      <c r="F8" s="26" t="n">
        <v>0.001321</v>
      </c>
      <c r="G8" s="26" t="n">
        <v>1.9128</v>
      </c>
      <c r="H8" s="26" t="n">
        <v>1.2312</v>
      </c>
      <c r="I8" s="26" t="n">
        <v>-0.65</v>
      </c>
      <c r="J8" s="26" t="n">
        <v>14.53</v>
      </c>
      <c r="K8" s="26" t="n">
        <v>2.89</v>
      </c>
      <c r="L8" s="26" t="n">
        <v>1.53</v>
      </c>
      <c r="M8" s="26" t="n">
        <v>0.0507</v>
      </c>
      <c r="N8" s="26" t="n">
        <v>-0.1213</v>
      </c>
      <c r="O8" s="26" t="n">
        <v>3.84</v>
      </c>
      <c r="P8" s="26" t="n">
        <v>21.8</v>
      </c>
      <c r="Q8" s="26" t="n"/>
      <c r="R8" s="26" t="n"/>
      <c r="S8" s="26" t="n">
        <v>15</v>
      </c>
      <c r="T8" s="26" t="n"/>
      <c r="U8" s="26" t="n"/>
      <c r="V8" s="27" t="n">
        <v>-0.063721</v>
      </c>
      <c r="W8" s="15" t="inlineStr">
        <is>
          <t>unknown</t>
        </is>
      </c>
      <c r="X8" s="15" t="n">
        <v>3</v>
      </c>
      <c r="Y8" s="26" t="n">
        <v>-1.5849</v>
      </c>
      <c r="Z8" s="27" t="n">
        <v>-0.0332</v>
      </c>
    </row>
    <row r="9">
      <c r="A9" s="8" t="inlineStr">
        <is>
          <t>2022-Q1</t>
        </is>
      </c>
      <c r="B9" s="8" t="inlineStr">
        <is>
          <t>2021-12-31</t>
        </is>
      </c>
      <c r="C9" s="22" t="n">
        <v>1498.28</v>
      </c>
      <c r="D9" s="22" t="n">
        <v>1492.15</v>
      </c>
      <c r="E9" s="23" t="n">
        <v>0.4944</v>
      </c>
      <c r="F9" s="23" t="n">
        <v>0.017019</v>
      </c>
      <c r="G9" s="23" t="n">
        <v>2.007</v>
      </c>
      <c r="H9" s="23" t="n">
        <v>1.4797</v>
      </c>
      <c r="I9" s="23" t="n">
        <v>-0.05</v>
      </c>
      <c r="J9" s="23" t="n">
        <v>10.66</v>
      </c>
      <c r="K9" s="23" t="n">
        <v>0.33</v>
      </c>
      <c r="L9" s="23" t="n">
        <v>1.51</v>
      </c>
      <c r="M9" s="23" t="n">
        <v>-0.4292</v>
      </c>
      <c r="N9" s="23" t="n">
        <v>-0.286</v>
      </c>
      <c r="O9" s="23" t="n">
        <v>1.82</v>
      </c>
      <c r="P9" s="23" t="n">
        <v>19.1</v>
      </c>
      <c r="Q9" s="23" t="n">
        <v>1.371628643437462</v>
      </c>
      <c r="R9" s="23" t="n">
        <v>1.724412035726501</v>
      </c>
      <c r="S9" s="23" t="n">
        <v>1</v>
      </c>
      <c r="T9" s="23" t="n">
        <v>-0.8927076300128868</v>
      </c>
      <c r="U9" s="23" t="n"/>
      <c r="V9" s="24" t="n">
        <v>0.33276</v>
      </c>
      <c r="W9" s="16" t="inlineStr">
        <is>
          <t>unknown</t>
        </is>
      </c>
      <c r="X9" s="16" t="n">
        <v>3</v>
      </c>
      <c r="Y9" s="23" t="n">
        <v>-0.3814</v>
      </c>
      <c r="Z9" s="24" t="n">
        <v>0.0142</v>
      </c>
    </row>
    <row r="10">
      <c r="A10" s="13" t="inlineStr">
        <is>
          <t>2022-Q2</t>
        </is>
      </c>
      <c r="B10" s="13" t="inlineStr">
        <is>
          <t>2022-03-31</t>
        </is>
      </c>
      <c r="C10" s="25" t="n">
        <v>1492.15</v>
      </c>
      <c r="D10" s="25" t="n">
        <v>1197.6</v>
      </c>
      <c r="E10" s="26" t="n">
        <v>1.3143</v>
      </c>
      <c r="F10" s="26" t="n">
        <v>-0.060524</v>
      </c>
      <c r="G10" s="26" t="n">
        <v>2.424</v>
      </c>
      <c r="H10" s="26" t="n">
        <v>0.9445</v>
      </c>
      <c r="I10" s="26" t="n">
        <v>1.02</v>
      </c>
      <c r="J10" s="26" t="n">
        <v>10.66</v>
      </c>
      <c r="K10" s="26" t="n">
        <v>1.03</v>
      </c>
      <c r="L10" s="26" t="n">
        <v>2.33</v>
      </c>
      <c r="M10" s="26" t="n">
        <v>0.1512</v>
      </c>
      <c r="N10" s="26" t="n">
        <v>-0.0992</v>
      </c>
      <c r="O10" s="26" t="n">
        <v>2.24</v>
      </c>
      <c r="P10" s="26" t="n">
        <v>43.6</v>
      </c>
      <c r="Q10" s="26" t="n">
        <v>1.247339660646479</v>
      </c>
      <c r="R10" s="26" t="n">
        <v>1.59290629195095</v>
      </c>
      <c r="S10" s="26" t="n">
        <v>11</v>
      </c>
      <c r="T10" s="26" t="n">
        <v>-0.8512428058229228</v>
      </c>
      <c r="U10" s="26" t="n"/>
      <c r="V10" s="27" t="n">
        <v>-0.076852</v>
      </c>
      <c r="W10" s="15" t="inlineStr">
        <is>
          <t>unknown</t>
        </is>
      </c>
      <c r="X10" s="15" t="n">
        <v>3</v>
      </c>
      <c r="Y10" s="26" t="n">
        <v>-0.7594</v>
      </c>
      <c r="Z10" s="27" t="n">
        <v>-0.0039</v>
      </c>
    </row>
    <row r="11">
      <c r="A11" s="8" t="inlineStr">
        <is>
          <t>2022-Q3</t>
        </is>
      </c>
      <c r="B11" s="8" t="inlineStr">
        <is>
          <t>2022-06-30</t>
        </is>
      </c>
      <c r="C11" s="22" t="n">
        <v>1197.6</v>
      </c>
      <c r="D11" s="22" t="n">
        <v>1132.11</v>
      </c>
      <c r="E11" s="23" t="n">
        <v>1.8151</v>
      </c>
      <c r="F11" s="23" t="n">
        <v>-0.005296</v>
      </c>
      <c r="G11" s="23" t="n">
        <v>3.2011</v>
      </c>
      <c r="H11" s="23" t="n">
        <v>1.1263</v>
      </c>
      <c r="I11" s="23" t="n">
        <v>1.35</v>
      </c>
      <c r="J11" s="23" t="n">
        <v>10.66</v>
      </c>
      <c r="K11" s="23" t="n">
        <v>1.18</v>
      </c>
      <c r="L11" s="23" t="n">
        <v>2.97</v>
      </c>
      <c r="M11" s="23" t="n">
        <v>0.6204</v>
      </c>
      <c r="N11" s="23" t="n">
        <v>0.0525</v>
      </c>
      <c r="O11" s="23" t="n">
        <v>1.87</v>
      </c>
      <c r="P11" s="23" t="n">
        <v>21.1</v>
      </c>
      <c r="Q11" s="23" t="n">
        <v>0.006185232620439785</v>
      </c>
      <c r="R11" s="23" t="n">
        <v>-0.1240240212033082</v>
      </c>
      <c r="S11" s="23" t="n">
        <v>80</v>
      </c>
      <c r="T11" s="23" t="n">
        <v>-0.3969703305582117</v>
      </c>
      <c r="U11" s="23" t="n"/>
      <c r="V11" s="24" t="n">
        <v>-0.295489</v>
      </c>
      <c r="W11" s="16" t="inlineStr">
        <is>
          <t>unknown</t>
        </is>
      </c>
      <c r="X11" s="16" t="n">
        <v>3</v>
      </c>
      <c r="Y11" s="23" t="n">
        <v>0.4218</v>
      </c>
      <c r="Z11" s="24" t="n">
        <v>0.0476</v>
      </c>
    </row>
    <row r="12">
      <c r="A12" s="13" t="inlineStr">
        <is>
          <t>2022-Q4</t>
        </is>
      </c>
      <c r="B12" s="13" t="inlineStr">
        <is>
          <t>2022-09-30</t>
        </is>
      </c>
      <c r="C12" s="25" t="n">
        <v>1132.11</v>
      </c>
      <c r="D12" s="25" t="n">
        <v>1007.09</v>
      </c>
      <c r="E12" s="26" t="n">
        <v>4.0572</v>
      </c>
      <c r="F12" s="26" t="n">
        <v>0.202285</v>
      </c>
      <c r="G12" s="26" t="n">
        <v>4.674</v>
      </c>
      <c r="H12" s="26" t="n">
        <v>0.5962</v>
      </c>
      <c r="I12" s="26" t="n">
        <v>2.82</v>
      </c>
      <c r="J12" s="26" t="n">
        <v>10.66</v>
      </c>
      <c r="K12" s="26" t="n">
        <v>1.68</v>
      </c>
      <c r="L12" s="26" t="n">
        <v>3.8</v>
      </c>
      <c r="M12" s="26" t="n">
        <v>0.5065</v>
      </c>
      <c r="N12" s="26" t="n">
        <v>0.0255</v>
      </c>
      <c r="O12" s="26" t="n">
        <v>1.52</v>
      </c>
      <c r="P12" s="26" t="n">
        <v>17.4</v>
      </c>
      <c r="Q12" s="26" t="n">
        <v>-0.2126038587946046</v>
      </c>
      <c r="R12" s="26" t="n">
        <v>-0.4172856437916561</v>
      </c>
      <c r="S12" s="26" t="n">
        <v>54</v>
      </c>
      <c r="T12" s="26" t="n">
        <v>-0.4208818841813037</v>
      </c>
      <c r="U12" s="26" t="n"/>
      <c r="V12" s="27" t="n">
        <v>-0.08731899999999999</v>
      </c>
      <c r="W12" s="15" t="inlineStr">
        <is>
          <t>unknown</t>
        </is>
      </c>
      <c r="X12" s="15" t="n">
        <v>3</v>
      </c>
      <c r="Y12" s="26" t="n">
        <v>-1.4748</v>
      </c>
      <c r="Z12" s="27" t="n">
        <v>-0.0348</v>
      </c>
    </row>
    <row r="13">
      <c r="A13" s="8" t="inlineStr">
        <is>
          <t>2023-Q1</t>
        </is>
      </c>
      <c r="B13" s="8" t="inlineStr">
        <is>
          <t>2022-12-30</t>
        </is>
      </c>
      <c r="C13" s="22" t="n">
        <v>1007.09</v>
      </c>
      <c r="D13" s="22" t="n">
        <v>1064.64</v>
      </c>
      <c r="E13" s="23" t="n">
        <v>4.6775</v>
      </c>
      <c r="F13" s="23" t="n">
        <v>-0.03116</v>
      </c>
      <c r="G13" s="23" t="n">
        <v>4.8245</v>
      </c>
      <c r="H13" s="23" t="n">
        <v>0.1576</v>
      </c>
      <c r="I13" s="23" t="n">
        <v>-1.39</v>
      </c>
      <c r="J13" s="23" t="n">
        <v>10.66</v>
      </c>
      <c r="K13" s="23" t="n">
        <v>-1.29</v>
      </c>
      <c r="L13" s="23" t="n">
        <v>3.88</v>
      </c>
      <c r="M13" s="23" t="n">
        <v>2.1533</v>
      </c>
      <c r="N13" s="23" t="n">
        <v>0.5325</v>
      </c>
      <c r="O13" s="23" t="n">
        <v>-1.44</v>
      </c>
      <c r="P13" s="23" t="n">
        <v>22</v>
      </c>
      <c r="Q13" s="23" t="n">
        <v>-0.6946819418923456</v>
      </c>
      <c r="R13" s="23" t="n">
        <v>-1.049413518514857</v>
      </c>
      <c r="S13" s="23" t="n">
        <v>35</v>
      </c>
      <c r="T13" s="23" t="n">
        <v>-0.0493596837226597</v>
      </c>
      <c r="U13" s="23" t="n"/>
      <c r="V13" s="24" t="n">
        <v>0.192768</v>
      </c>
      <c r="W13" s="16" t="inlineStr">
        <is>
          <t>unknown</t>
        </is>
      </c>
      <c r="X13" s="16" t="n">
        <v>3</v>
      </c>
      <c r="Y13" s="23" t="n">
        <v>0.6843</v>
      </c>
      <c r="Z13" s="24" t="n">
        <v>0.0567</v>
      </c>
    </row>
    <row r="14">
      <c r="A14" s="13" t="inlineStr">
        <is>
          <t>2023-Q2</t>
        </is>
      </c>
      <c r="B14" s="13" t="inlineStr">
        <is>
          <t>2023-03-31</t>
        </is>
      </c>
      <c r="C14" s="25" t="n">
        <v>1064.64</v>
      </c>
      <c r="D14" s="25" t="n">
        <v>1120.18</v>
      </c>
      <c r="E14" s="26" t="n">
        <v>3.3908</v>
      </c>
      <c r="F14" s="26" t="n">
        <v>-0.068954</v>
      </c>
      <c r="G14" s="26" t="n">
        <v>3.5545</v>
      </c>
      <c r="H14" s="26" t="n">
        <v>0.1561</v>
      </c>
      <c r="I14" s="26" t="n">
        <v>-0.76</v>
      </c>
      <c r="J14" s="26" t="n">
        <v>6.15</v>
      </c>
      <c r="K14" s="26" t="n">
        <v>-0.72</v>
      </c>
      <c r="L14" s="26" t="n">
        <v>3.49</v>
      </c>
      <c r="M14" s="26" t="n">
        <v>0.5327</v>
      </c>
      <c r="N14" s="26" t="n">
        <v>0.0941</v>
      </c>
      <c r="O14" s="26" t="n">
        <v>0.32</v>
      </c>
      <c r="P14" s="26" t="n">
        <v>17.3</v>
      </c>
      <c r="Q14" s="26" t="n">
        <v>-0.4842622488177234</v>
      </c>
      <c r="R14" s="26" t="n">
        <v>-0.7470652616011775</v>
      </c>
      <c r="S14" s="26" t="n">
        <v>21</v>
      </c>
      <c r="T14" s="26" t="n">
        <v>-0.007539493466672935</v>
      </c>
      <c r="U14" s="26" t="n"/>
      <c r="V14" s="27" t="n">
        <v>-0.191478</v>
      </c>
      <c r="W14" s="15" t="inlineStr">
        <is>
          <t>unknown</t>
        </is>
      </c>
      <c r="X14" s="15" t="n">
        <v>3</v>
      </c>
      <c r="Y14" s="26" t="n">
        <v>-0.24</v>
      </c>
      <c r="Z14" s="27" t="n">
        <v>0.0169</v>
      </c>
    </row>
    <row r="15">
      <c r="A15" s="8" t="inlineStr">
        <is>
          <t>2023-Q3</t>
        </is>
      </c>
      <c r="B15" s="8" t="inlineStr">
        <is>
          <t>2023-06-30</t>
        </is>
      </c>
      <c r="C15" s="22" t="n">
        <v>1120.18</v>
      </c>
      <c r="D15" s="22" t="n">
        <v>1154.15</v>
      </c>
      <c r="E15" s="23" t="n">
        <v>2.1614</v>
      </c>
      <c r="F15" s="23" t="n">
        <v>-0.006956</v>
      </c>
      <c r="G15" s="23" t="n">
        <v>2.5684</v>
      </c>
      <c r="H15" s="23" t="n">
        <v>0.3695</v>
      </c>
      <c r="I15" s="23" t="n">
        <v>2.97</v>
      </c>
      <c r="J15" s="23" t="n">
        <v>6.15</v>
      </c>
      <c r="K15" s="23" t="n">
        <v>0.3</v>
      </c>
      <c r="L15" s="23" t="n">
        <v>3.82</v>
      </c>
      <c r="M15" s="23" t="n">
        <v>-0.124</v>
      </c>
      <c r="N15" s="23" t="n">
        <v>-0.1149</v>
      </c>
      <c r="O15" s="23" t="n">
        <v>2.05</v>
      </c>
      <c r="P15" s="23" t="n">
        <v>17.1</v>
      </c>
      <c r="Q15" s="23" t="n">
        <v>0.05500550277645613</v>
      </c>
      <c r="R15" s="23" t="n">
        <v>-0.104551543339823</v>
      </c>
      <c r="S15" s="23" t="n">
        <v>7</v>
      </c>
      <c r="T15" s="23" t="n">
        <v>-0.2120636389414922</v>
      </c>
      <c r="U15" s="23" t="n"/>
      <c r="V15" s="24" t="n">
        <v>0.399685</v>
      </c>
      <c r="W15" s="16" t="inlineStr">
        <is>
          <t>unknown</t>
        </is>
      </c>
      <c r="X15" s="16" t="n">
        <v>3</v>
      </c>
      <c r="Y15" s="23" t="n">
        <v>-0.7902</v>
      </c>
      <c r="Z15" s="24" t="n">
        <v>-0.0072</v>
      </c>
    </row>
    <row r="16">
      <c r="A16" s="13" t="inlineStr">
        <is>
          <t>2023-Q4</t>
        </is>
      </c>
      <c r="B16" s="13" t="inlineStr">
        <is>
          <t>2023-09-29</t>
        </is>
      </c>
      <c r="C16" s="25" t="n">
        <v>1154.15</v>
      </c>
      <c r="D16" s="25" t="n">
        <v>1129.93</v>
      </c>
      <c r="E16" s="26" t="n">
        <v>1.868</v>
      </c>
      <c r="F16" s="26" t="n">
        <v>0.029032</v>
      </c>
      <c r="G16" s="26" t="n">
        <v>2.4762</v>
      </c>
      <c r="H16" s="26" t="n">
        <v>0.5369</v>
      </c>
      <c r="I16" s="26" t="n">
        <v>1.82</v>
      </c>
      <c r="J16" s="26" t="n">
        <v>6.15</v>
      </c>
      <c r="K16" s="26" t="n">
        <v>1.57</v>
      </c>
      <c r="L16" s="26" t="n">
        <v>4.57</v>
      </c>
      <c r="M16" s="26" t="n">
        <v>0.0585</v>
      </c>
      <c r="N16" s="26" t="n">
        <v>-0.0579</v>
      </c>
      <c r="O16" s="26" t="n">
        <v>1.48</v>
      </c>
      <c r="P16" s="26" t="n">
        <v>13.5</v>
      </c>
      <c r="Q16" s="26" t="n">
        <v>0.341763280898118</v>
      </c>
      <c r="R16" s="26" t="n">
        <v>0.3688640925238618</v>
      </c>
      <c r="S16" s="26" t="n">
        <v>33</v>
      </c>
      <c r="T16" s="26" t="n">
        <v>-0.3459510356149464</v>
      </c>
      <c r="U16" s="26" t="n"/>
      <c r="V16" s="27" t="n">
        <v>0.288734</v>
      </c>
      <c r="W16" s="15" t="inlineStr">
        <is>
          <t>unknown</t>
        </is>
      </c>
      <c r="X16" s="15" t="n">
        <v>3</v>
      </c>
      <c r="Y16" s="26" t="n">
        <v>-1.4875</v>
      </c>
      <c r="Z16" s="27" t="n">
        <v>-0.0384</v>
      </c>
    </row>
    <row r="17">
      <c r="A17" s="8" t="inlineStr">
        <is>
          <t>2024-Q1</t>
        </is>
      </c>
      <c r="B17" s="8" t="inlineStr">
        <is>
          <t>2023-12-29</t>
        </is>
      </c>
      <c r="C17" s="22" t="n">
        <v>1129.93</v>
      </c>
      <c r="D17" s="22" t="n">
        <v>1284.09</v>
      </c>
      <c r="E17" s="23" t="n">
        <v>1.6115</v>
      </c>
      <c r="F17" s="23" t="n">
        <v>0.010374</v>
      </c>
      <c r="G17" s="23" t="n">
        <v>2.2174</v>
      </c>
      <c r="H17" s="23" t="n">
        <v>0.5376</v>
      </c>
      <c r="I17" s="23" t="n">
        <v>-0.96</v>
      </c>
      <c r="J17" s="23" t="n">
        <v>6.15</v>
      </c>
      <c r="K17" s="23" t="n">
        <v>-1.73</v>
      </c>
      <c r="L17" s="23" t="n">
        <v>3.87</v>
      </c>
      <c r="M17" s="23" t="n">
        <v>-0.2633</v>
      </c>
      <c r="N17" s="23" t="n">
        <v>-0.1571</v>
      </c>
      <c r="O17" s="23" t="n">
        <v>-2.03</v>
      </c>
      <c r="P17" s="23" t="n">
        <v>14.8</v>
      </c>
      <c r="Q17" s="23" t="n">
        <v>0.4231462359114922</v>
      </c>
      <c r="R17" s="23" t="n">
        <v>0.3929348724985154</v>
      </c>
      <c r="S17" s="23" t="n">
        <v>10</v>
      </c>
      <c r="T17" s="23" t="n">
        <v>-0.3352892107915442</v>
      </c>
      <c r="U17" s="23" t="n"/>
      <c r="V17" s="24" t="n">
        <v>-0.288754</v>
      </c>
      <c r="W17" s="16" t="inlineStr">
        <is>
          <t>unknown</t>
        </is>
      </c>
      <c r="X17" s="16" t="n">
        <v>3</v>
      </c>
      <c r="Y17" s="23" t="n">
        <v>-1.7808</v>
      </c>
      <c r="Z17" s="24" t="n">
        <v>-0.0563</v>
      </c>
    </row>
    <row r="18">
      <c r="A18" s="13" t="inlineStr">
        <is>
          <t>2024-Q2</t>
        </is>
      </c>
      <c r="B18" s="13" t="inlineStr">
        <is>
          <t>2024-03-29</t>
        </is>
      </c>
      <c r="C18" s="25" t="n">
        <v>1284.09</v>
      </c>
      <c r="D18" s="25" t="n">
        <v>1245.32</v>
      </c>
      <c r="E18" s="26" t="n">
        <v>1.5461</v>
      </c>
      <c r="F18" s="26" t="n">
        <v>0.022309</v>
      </c>
      <c r="G18" s="26" t="n">
        <v>2.4651</v>
      </c>
      <c r="H18" s="26" t="n">
        <v>0.8931</v>
      </c>
      <c r="I18" s="26" t="n">
        <v>1.68</v>
      </c>
      <c r="J18" s="26" t="n">
        <v>12.46</v>
      </c>
      <c r="K18" s="26" t="n">
        <v>1.38</v>
      </c>
      <c r="L18" s="26" t="n">
        <v>4.21</v>
      </c>
      <c r="M18" s="26" t="n">
        <v>-0.0101</v>
      </c>
      <c r="N18" s="26" t="n">
        <v>-0.0825</v>
      </c>
      <c r="O18" s="26" t="n">
        <v>1.39</v>
      </c>
      <c r="P18" s="26" t="n">
        <v>12</v>
      </c>
      <c r="Q18" s="26" t="n">
        <v>1.111219473837371</v>
      </c>
      <c r="R18" s="26" t="n">
        <v>1.255886961070347</v>
      </c>
      <c r="S18" s="26" t="n">
        <v>2</v>
      </c>
      <c r="T18" s="26" t="n">
        <v>-0.6695695077539148</v>
      </c>
      <c r="U18" s="26" t="n"/>
      <c r="V18" s="27" t="n">
        <v>0.260258</v>
      </c>
      <c r="W18" s="15" t="inlineStr">
        <is>
          <t>unknown</t>
        </is>
      </c>
      <c r="X18" s="15" t="n">
        <v>3</v>
      </c>
      <c r="Y18" s="26" t="n">
        <v>-1.7549</v>
      </c>
      <c r="Z18" s="27" t="n">
        <v>-0.06270000000000001</v>
      </c>
    </row>
    <row r="19">
      <c r="A19" s="8" t="inlineStr">
        <is>
          <t>2024-Q3</t>
        </is>
      </c>
      <c r="B19" s="8" t="inlineStr">
        <is>
          <t>2024-06-28</t>
        </is>
      </c>
      <c r="C19" s="22" t="n">
        <v>1245.32</v>
      </c>
      <c r="D19" s="22" t="n">
        <v>1287.94</v>
      </c>
      <c r="E19" s="23" t="n">
        <v>2.0678</v>
      </c>
      <c r="F19" s="23" t="n">
        <v>0.0517</v>
      </c>
      <c r="G19" s="23" t="n">
        <v>2.7738</v>
      </c>
      <c r="H19" s="23" t="n">
        <v>0.6057</v>
      </c>
      <c r="I19" s="23" t="n">
        <v>0.5600000000000001</v>
      </c>
      <c r="J19" s="23" t="n">
        <v>12.46</v>
      </c>
      <c r="K19" s="23" t="n">
        <v>1.03</v>
      </c>
      <c r="L19" s="23" t="n">
        <v>4.34</v>
      </c>
      <c r="M19" s="23" t="n">
        <v>-0.919</v>
      </c>
      <c r="N19" s="23" t="n">
        <v>-0.3509</v>
      </c>
      <c r="O19" s="23" t="n">
        <v>2.26</v>
      </c>
      <c r="P19" s="23" t="n">
        <v>9</v>
      </c>
      <c r="Q19" s="23" t="n">
        <v>1.295172486913837</v>
      </c>
      <c r="R19" s="23" t="n">
        <v>1.466509066811024</v>
      </c>
      <c r="S19" s="23" t="n">
        <v>19</v>
      </c>
      <c r="T19" s="23" t="n">
        <v>-0.7854970100166639</v>
      </c>
      <c r="U19" s="23" t="n"/>
      <c r="V19" s="24" t="n">
        <v>-0.070967</v>
      </c>
      <c r="W19" s="16" t="inlineStr">
        <is>
          <t>unknown</t>
        </is>
      </c>
      <c r="X19" s="16" t="n">
        <v>3</v>
      </c>
      <c r="Y19" s="23" t="n">
        <v>-2.04</v>
      </c>
      <c r="Z19" s="24" t="n">
        <v>-0.0838</v>
      </c>
    </row>
    <row r="20">
      <c r="A20" s="13" t="inlineStr">
        <is>
          <t>2024-Q4</t>
        </is>
      </c>
      <c r="B20" s="13" t="inlineStr">
        <is>
          <t>2024-09-30</t>
        </is>
      </c>
      <c r="C20" s="25" t="n">
        <v>1287.94</v>
      </c>
      <c r="D20" s="25" t="n">
        <v>1266.78</v>
      </c>
      <c r="E20" s="26" t="n">
        <v>1.8875</v>
      </c>
      <c r="F20" s="26" t="n">
        <v>-0.044628</v>
      </c>
      <c r="G20" s="26" t="n">
        <v>2.8461</v>
      </c>
      <c r="H20" s="26" t="n">
        <v>0.8262</v>
      </c>
      <c r="I20" s="26" t="n">
        <v>-1.33</v>
      </c>
      <c r="J20" s="26" t="n">
        <v>12.46</v>
      </c>
      <c r="K20" s="26" t="n">
        <v>-1.09</v>
      </c>
      <c r="L20" s="26" t="n">
        <v>3.8</v>
      </c>
      <c r="M20" s="26" t="n">
        <v>-0.2976</v>
      </c>
      <c r="N20" s="26" t="n">
        <v>-0.1789</v>
      </c>
      <c r="O20" s="26" t="n">
        <v>-0.92</v>
      </c>
      <c r="P20" s="26" t="n">
        <v>13.3</v>
      </c>
      <c r="Q20" s="26" t="n">
        <v>1.234545846826994</v>
      </c>
      <c r="R20" s="26" t="n">
        <v>1.385418134890549</v>
      </c>
      <c r="S20" s="26" t="n">
        <v>2</v>
      </c>
      <c r="T20" s="26" t="n">
        <v>-0.7752907247895523</v>
      </c>
      <c r="U20" s="26" t="n"/>
      <c r="V20" s="27" t="n">
        <v>-0.22597</v>
      </c>
      <c r="W20" s="15" t="inlineStr">
        <is>
          <t>unknown</t>
        </is>
      </c>
      <c r="X20" s="15" t="n">
        <v>3</v>
      </c>
      <c r="Y20" s="26" t="n">
        <v>-0.3091</v>
      </c>
      <c r="Z20" s="27" t="n">
        <v>-0.0056</v>
      </c>
    </row>
    <row r="21">
      <c r="A21" s="8" t="inlineStr">
        <is>
          <t>2025-Q1</t>
        </is>
      </c>
      <c r="B21" s="8" t="inlineStr">
        <is>
          <t>2024-12-31</t>
        </is>
      </c>
      <c r="C21" s="22" t="n">
        <v>1266.78</v>
      </c>
      <c r="D21" s="22" t="n">
        <v>1306.86</v>
      </c>
      <c r="E21" s="23" t="n">
        <v>2.0566</v>
      </c>
      <c r="F21" s="23" t="n">
        <v>-0.00398</v>
      </c>
      <c r="G21" s="23" t="n">
        <v>2.8181</v>
      </c>
      <c r="H21" s="23" t="n">
        <v>0.6599</v>
      </c>
      <c r="I21" s="23" t="n">
        <v>0.9399999999999999</v>
      </c>
      <c r="J21" s="23" t="n">
        <v>11.97</v>
      </c>
      <c r="K21" s="23" t="n">
        <v>1.64</v>
      </c>
      <c r="L21" s="23" t="n">
        <v>4.57</v>
      </c>
      <c r="M21" s="23" t="n">
        <v>-0.8062</v>
      </c>
      <c r="N21" s="23" t="n">
        <v>-0.3273</v>
      </c>
      <c r="O21" s="23" t="n">
        <v>1.59</v>
      </c>
      <c r="P21" s="23" t="n">
        <v>21.6</v>
      </c>
      <c r="Q21" s="23" t="n">
        <v>1.398724223280527</v>
      </c>
      <c r="R21" s="23" t="n">
        <v>1.568734846260315</v>
      </c>
      <c r="S21" s="23" t="n">
        <v>7</v>
      </c>
      <c r="T21" s="23" t="n">
        <v>-0.8231059070010005</v>
      </c>
      <c r="U21" s="23" t="n"/>
      <c r="V21" s="24" t="n">
        <v>-0.12025</v>
      </c>
      <c r="W21" s="16" t="inlineStr">
        <is>
          <t>unknown</t>
        </is>
      </c>
      <c r="X21" s="16" t="n">
        <v>3</v>
      </c>
      <c r="Y21" s="23" t="n">
        <v>-0.1879</v>
      </c>
      <c r="Z21" s="24" t="n">
        <v>0.0002</v>
      </c>
    </row>
    <row r="22">
      <c r="A22" s="13" t="inlineStr">
        <is>
          <t>2025-Q2</t>
        </is>
      </c>
      <c r="B22" s="13" t="inlineStr">
        <is>
          <t>2025-03-31</t>
        </is>
      </c>
      <c r="C22" s="25" t="n">
        <v>1306.86</v>
      </c>
      <c r="D22" s="25" t="n">
        <v>1376.07</v>
      </c>
      <c r="E22" s="26" t="n">
        <v>2.0859</v>
      </c>
      <c r="F22" s="26" t="n">
        <v>-0.001884</v>
      </c>
      <c r="G22" s="26" t="n">
        <v>2.8775</v>
      </c>
      <c r="H22" s="26" t="n">
        <v>0.6870000000000001</v>
      </c>
      <c r="I22" s="26" t="n">
        <v>0.92</v>
      </c>
      <c r="J22" s="26" t="n">
        <v>11.97</v>
      </c>
      <c r="K22" s="26" t="n">
        <v>-1.19</v>
      </c>
      <c r="L22" s="26" t="n">
        <v>4.25</v>
      </c>
      <c r="M22" s="26" t="n">
        <v>-0.8028999999999999</v>
      </c>
      <c r="N22" s="26" t="n">
        <v>-0.3338</v>
      </c>
      <c r="O22" s="26" t="n">
        <v>-0.8</v>
      </c>
      <c r="P22" s="26" t="n">
        <v>13.1</v>
      </c>
      <c r="Q22" s="26" t="n">
        <v>1.447042625406603</v>
      </c>
      <c r="R22" s="26" t="n">
        <v>1.621584721505385</v>
      </c>
      <c r="S22" s="26" t="n">
        <v>10</v>
      </c>
      <c r="T22" s="26" t="n">
        <v>-0.8493534471665757</v>
      </c>
      <c r="U22" s="26" t="n"/>
      <c r="V22" s="27" t="n">
        <v>0.19508</v>
      </c>
      <c r="W22" s="15" t="inlineStr">
        <is>
          <t>unknown</t>
        </is>
      </c>
      <c r="X22" s="15" t="n">
        <v>3</v>
      </c>
      <c r="Y22" s="26" t="n">
        <v>-0.2756</v>
      </c>
      <c r="Z22" s="27" t="n">
        <v>-0.0043</v>
      </c>
    </row>
    <row r="23">
      <c r="A23" s="8" t="inlineStr">
        <is>
          <t>2025-Q3</t>
        </is>
      </c>
      <c r="B23" s="8" t="inlineStr">
        <is>
          <t>2025-06-30</t>
        </is>
      </c>
      <c r="C23" s="22" t="n">
        <v>1376.07</v>
      </c>
      <c r="D23" s="22" t="n">
        <v>1661.7</v>
      </c>
      <c r="E23" s="23" t="n">
        <v>2.4271</v>
      </c>
      <c r="F23" s="23" t="n">
        <v>0.08709500000000001</v>
      </c>
      <c r="G23" s="23" t="n">
        <v>2.9562</v>
      </c>
      <c r="H23" s="23" t="n">
        <v>0.4747</v>
      </c>
      <c r="I23" s="23" t="n">
        <v>1.1</v>
      </c>
      <c r="J23" s="23" t="n">
        <v>11.97</v>
      </c>
      <c r="K23" s="23" t="n">
        <v>-2.04</v>
      </c>
      <c r="L23" s="23" t="n">
        <v>4.23</v>
      </c>
      <c r="M23" s="23" t="n">
        <v>-0.2736</v>
      </c>
      <c r="N23" s="23" t="n">
        <v>-0.1907</v>
      </c>
      <c r="O23" s="23" t="n">
        <v>0.11</v>
      </c>
      <c r="P23" s="23" t="n">
        <v>27</v>
      </c>
      <c r="Q23" s="23" t="n">
        <v>1.489626904686737</v>
      </c>
      <c r="R23" s="23" t="n">
        <v>1.665186805948611</v>
      </c>
      <c r="S23" s="23" t="n">
        <v>0</v>
      </c>
      <c r="T23" s="23" t="n">
        <v>-0.8714508975744635</v>
      </c>
      <c r="U23" s="23" t="n"/>
      <c r="V23" s="24" t="n">
        <v>0.436843</v>
      </c>
      <c r="W23" s="16" t="inlineStr">
        <is>
          <t>pending</t>
        </is>
      </c>
      <c r="X23" s="16" t="n">
        <v>3</v>
      </c>
      <c r="Y23" s="23" t="n">
        <v>-0.1839</v>
      </c>
      <c r="Z23" s="24" t="n">
        <v>-0.0002</v>
      </c>
    </row>
    <row r="24">
      <c r="A24" s="13" t="inlineStr">
        <is>
          <t>2025-Q4</t>
        </is>
      </c>
      <c r="B24" s="13" t="inlineStr">
        <is>
          <t>2025-09-30</t>
        </is>
      </c>
      <c r="C24" s="25" t="n">
        <v>1661.7</v>
      </c>
      <c r="D24" s="25" t="n">
        <v>1784.49</v>
      </c>
      <c r="E24" s="26" t="n">
        <v>2.8134</v>
      </c>
      <c r="F24" s="26" t="n">
        <v>0.006067</v>
      </c>
      <c r="G24" s="26" t="n">
        <v>3.4571</v>
      </c>
      <c r="H24" s="26" t="n">
        <v>0.5566</v>
      </c>
      <c r="I24" s="26" t="n">
        <v>1.4</v>
      </c>
      <c r="J24" s="26" t="n">
        <v>11.97</v>
      </c>
      <c r="K24" s="26" t="n">
        <v>-0.44</v>
      </c>
      <c r="L24" s="26" t="n">
        <v>4.15</v>
      </c>
      <c r="M24" s="26" t="n">
        <v>-1.65</v>
      </c>
      <c r="N24" s="26" t="n">
        <v>-0.5756</v>
      </c>
      <c r="O24" s="26" t="n">
        <v>1.03</v>
      </c>
      <c r="P24" s="26" t="n">
        <v>11.4</v>
      </c>
      <c r="Q24" s="26" t="n">
        <v>2.233268787803599</v>
      </c>
      <c r="R24" s="26" t="n">
        <v>2.456627904712017</v>
      </c>
      <c r="S24" s="26" t="n">
        <v>9</v>
      </c>
      <c r="T24" s="26" t="n">
        <v>-1.197088543881617</v>
      </c>
      <c r="U24" s="26" t="n"/>
      <c r="V24" s="27" t="n">
        <v>0.657237</v>
      </c>
      <c r="W24" s="15" t="inlineStr">
        <is>
          <t>pending</t>
        </is>
      </c>
      <c r="X24" s="15" t="n">
        <v>3</v>
      </c>
      <c r="Y24" s="26" t="n">
        <v>-0.4193</v>
      </c>
      <c r="Z24" s="27" t="n">
        <v>-0.0115</v>
      </c>
    </row>
    <row r="25">
      <c r="A25" s="8" t="inlineStr">
        <is>
          <t>2026-Q1</t>
        </is>
      </c>
      <c r="B25" s="8" t="inlineStr">
        <is>
          <t>2025-12-31</t>
        </is>
      </c>
      <c r="C25" s="22" t="n">
        <v>1784.49</v>
      </c>
      <c r="D25" s="22" t="n">
        <v>1674.49</v>
      </c>
      <c r="E25" s="23" t="n">
        <v>3.041</v>
      </c>
      <c r="F25" s="23" t="n">
        <v>0.027362</v>
      </c>
      <c r="G25" s="23" t="n">
        <v>3.8573</v>
      </c>
      <c r="H25" s="23" t="n">
        <v>0.7896</v>
      </c>
      <c r="I25" s="23" t="n">
        <v>-2.83</v>
      </c>
      <c r="J25" s="23" t="n">
        <v>14.98</v>
      </c>
      <c r="K25" s="23" t="n">
        <v>-1.23</v>
      </c>
      <c r="L25" s="23" t="n">
        <v>4.16</v>
      </c>
      <c r="M25" s="23" t="n">
        <v>-0.4454</v>
      </c>
      <c r="N25" s="23" t="n">
        <v>-0.2602</v>
      </c>
      <c r="O25" s="23" t="n">
        <v>1.01</v>
      </c>
      <c r="P25" s="23" t="n">
        <v>14.1</v>
      </c>
      <c r="Q25" s="23" t="n">
        <v>2.535066428138991</v>
      </c>
      <c r="R25" s="23" t="n">
        <v>2.416033593503357</v>
      </c>
      <c r="S25" s="23" t="n">
        <v>0</v>
      </c>
      <c r="T25" s="23" t="n">
        <v>-1.365312631189681</v>
      </c>
      <c r="U25" s="23" t="n"/>
      <c r="V25" s="24" t="n">
        <v>-0.384448</v>
      </c>
      <c r="W25" s="16" t="inlineStr">
        <is>
          <t>pending</t>
        </is>
      </c>
      <c r="X25" s="16" t="n">
        <v>3</v>
      </c>
      <c r="Y25" s="23" t="n">
        <v>-0.0968</v>
      </c>
      <c r="Z25" s="24" t="n">
        <v>0.0032</v>
      </c>
    </row>
    <row r="26">
      <c r="A26" s="13" t="inlineStr">
        <is>
          <t>2026-Q2</t>
        </is>
      </c>
      <c r="B26" s="13" t="inlineStr">
        <is>
          <t>2026-03-31</t>
        </is>
      </c>
      <c r="C26" s="25" t="n">
        <v>1674.49</v>
      </c>
      <c r="D26" s="25" t="n">
        <v>1860.01</v>
      </c>
      <c r="E26" s="26" t="n">
        <v>3.52</v>
      </c>
      <c r="F26" s="26" t="n">
        <v>0.084721</v>
      </c>
      <c r="G26" s="26" t="n">
        <v>4.0281</v>
      </c>
      <c r="H26" s="26" t="n">
        <v>0.4519</v>
      </c>
      <c r="I26" s="26" t="n">
        <v>1.28</v>
      </c>
      <c r="J26" s="26" t="n">
        <v>14.98</v>
      </c>
      <c r="K26" s="26" t="n">
        <v>1.34</v>
      </c>
      <c r="L26" s="26" t="n">
        <v>4.31</v>
      </c>
      <c r="M26" s="26" t="n">
        <v>-0.2095</v>
      </c>
      <c r="N26" s="26" t="n">
        <v>-0.196</v>
      </c>
      <c r="O26" s="26" t="n">
        <v>1.39</v>
      </c>
      <c r="P26" s="26" t="n">
        <v>52.8</v>
      </c>
      <c r="Q26" s="26" t="n">
        <v>2.164624844742904</v>
      </c>
      <c r="R26" s="26" t="n">
        <v>1.971043250704673</v>
      </c>
      <c r="S26" s="26" t="n">
        <v>53</v>
      </c>
      <c r="T26" s="26" t="n">
        <v>-1.868489179254161</v>
      </c>
      <c r="U26" s="26" t="n"/>
      <c r="V26" s="27" t="n">
        <v>0.17381</v>
      </c>
      <c r="W26" s="15" t="inlineStr">
        <is>
          <t>pending</t>
        </is>
      </c>
      <c r="X26" s="15" t="n">
        <v>3</v>
      </c>
      <c r="Y26" s="26" t="n">
        <v>-0.5466</v>
      </c>
      <c r="Z26" s="27" t="n">
        <v>-0.0176</v>
      </c>
    </row>
    <row r="27">
      <c r="A27" s="8" t="inlineStr">
        <is>
          <t>2026-Q3</t>
        </is>
      </c>
      <c r="B27" s="8" t="inlineStr">
        <is>
          <t>2026-06-30</t>
        </is>
      </c>
      <c r="C27" s="22" t="n">
        <v>1860.01</v>
      </c>
      <c r="D27" s="22" t="n">
        <v>1768.62</v>
      </c>
      <c r="E27" s="23" t="n">
        <v>3.7228</v>
      </c>
      <c r="F27" s="23" t="n">
        <v>0.003593</v>
      </c>
      <c r="G27" s="23" t="n">
        <v>4.3985</v>
      </c>
      <c r="H27" s="23" t="n">
        <v>0.5591</v>
      </c>
      <c r="I27" s="23" t="n">
        <v>-2.12</v>
      </c>
      <c r="J27" s="23" t="n">
        <v>14.98</v>
      </c>
      <c r="K27" s="23" t="n">
        <v>1.91</v>
      </c>
      <c r="L27" s="23" t="n">
        <v>4.42</v>
      </c>
      <c r="M27" s="23" t="n">
        <v>-0.8451</v>
      </c>
      <c r="N27" s="23" t="n">
        <v>-0.3737</v>
      </c>
      <c r="O27" s="23" t="n">
        <v>1.89</v>
      </c>
      <c r="P27" s="23" t="n">
        <v>30.3</v>
      </c>
      <c r="Q27" s="23" t="n">
        <v>1.834821895419637</v>
      </c>
      <c r="R27" s="23" t="n">
        <v>1.699113859669101</v>
      </c>
      <c r="S27" s="23" t="n">
        <v>16</v>
      </c>
      <c r="T27" s="23" t="n">
        <v>-1.891629452375064</v>
      </c>
      <c r="U27" s="23" t="n"/>
      <c r="V27" s="24" t="n">
        <v>-0.254737</v>
      </c>
      <c r="W27" s="16" t="inlineStr">
        <is>
          <t>pending</t>
        </is>
      </c>
      <c r="X27" s="16" t="n">
        <v>3</v>
      </c>
      <c r="Y27" s="23" t="n">
        <v>-0.1918</v>
      </c>
      <c r="Z27" s="24" t="n">
        <v>-0.002</v>
      </c>
    </row>
    <row r="28">
      <c r="A28" s="13" t="inlineStr">
        <is>
          <t>2026-Q4</t>
        </is>
      </c>
      <c r="B28" s="13" t="inlineStr">
        <is>
          <t>2026-09-30</t>
        </is>
      </c>
      <c r="C28" s="25" t="n">
        <v>1768.62</v>
      </c>
      <c r="D28" s="25" t="n">
        <v>1749.3</v>
      </c>
      <c r="E28" s="26" t="n">
        <v>3.824486217282372</v>
      </c>
      <c r="F28" s="26" t="n">
        <v>-0.006669987027570823</v>
      </c>
      <c r="G28" s="26" t="n">
        <v>4.490338434500489</v>
      </c>
      <c r="H28" s="26" t="n">
        <v>0.5641762386393379</v>
      </c>
      <c r="I28" s="26" t="n">
        <v>-1.2883999557269</v>
      </c>
      <c r="J28" s="26" t="n">
        <v>14.98</v>
      </c>
      <c r="K28" s="26" t="n">
        <v>1.561003392211543</v>
      </c>
      <c r="L28" s="26" t="n">
        <v>5.293000221252441</v>
      </c>
      <c r="M28" s="26" t="n">
        <v>-0.1220948548235693</v>
      </c>
      <c r="N28" s="26" t="n">
        <v>-0.1801222314895506</v>
      </c>
      <c r="O28" s="26" t="n">
        <v>-0.5758618955754176</v>
      </c>
      <c r="P28" s="26" t="n">
        <v>43.81259366342714</v>
      </c>
      <c r="Q28" s="26" t="n">
        <v>0.7509441191245513</v>
      </c>
      <c r="R28" s="26" t="n">
        <v>0.638044654231649</v>
      </c>
      <c r="S28" s="26" t="n">
        <v>20.39884195572824</v>
      </c>
      <c r="T28" s="26" t="n">
        <v>-1.222708307670604</v>
      </c>
      <c r="U28" s="26" t="n"/>
      <c r="V28" s="27" t="n">
        <v>-0.1226154130605057</v>
      </c>
      <c r="W28" s="15" t="inlineStr">
        <is>
          <t>confirmed</t>
        </is>
      </c>
      <c r="X28" s="15" t="n">
        <v>3</v>
      </c>
      <c r="Y28" s="26" t="n">
        <v>-0.1147552691905312</v>
      </c>
      <c r="Z28" s="27" t="n">
        <v>0.001304077894212551</v>
      </c>
    </row>
  </sheetData>
  <autoFilter ref="A4:Z28"/>
  <pageMargins left="0.75" right="0.75" top="1" bottom="1" header="0.5" footer="0.5"/>
  <pageSetup fitToHeight="0" fitToWidth="1"/>
</worksheet>
</file>

<file path=xl/worksheets/sheet4.xml><?xml version="1.0" encoding="utf-8"?>
<worksheet xmlns="http://schemas.openxmlformats.org/spreadsheetml/2006/main">
  <sheetPr>
    <tabColor rgb="00047857"/>
    <outlinePr summaryBelow="1" summaryRight="1"/>
    <pageSetUpPr fitToPage="1"/>
  </sheetPr>
  <dimension ref="A1:W2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2" customWidth="1" min="17" max="17"/>
    <col width="12" customWidth="1" min="18" max="18"/>
    <col width="12" customWidth="1" min="19" max="19"/>
    <col width="14" customWidth="1" min="20" max="20"/>
    <col width="14" customWidth="1" min="21" max="21"/>
    <col width="11" customWidth="1" min="22" max="22"/>
    <col width="11" customWidth="1" min="23" max="23"/>
  </cols>
  <sheetData>
    <row r="1">
      <c r="A1" s="1" t="inlineStr">
        <is>
          <t>FORMULA-NORMALIZED FACTOR SUB-SCORES</t>
        </is>
      </c>
    </row>
    <row r="2">
      <c r="A2" s="2" t="inlineStr">
        <is>
          <t>All 0–100 factor scores are live formulas sourced from the point-in-time input and model ledgers</t>
        </is>
      </c>
    </row>
    <row r="3"/>
    <row r="4" ht="32" customHeight="1">
      <c r="A4" s="18" t="inlineStr">
        <is>
          <t>Quarter</t>
        </is>
      </c>
      <c r="B4" s="18" t="inlineStr">
        <is>
          <t>As-of Date</t>
        </is>
      </c>
      <c r="C4" s="18" t="inlineStr">
        <is>
          <t>VN1Y</t>
        </is>
      </c>
      <c r="D4" s="18" t="inlineStr">
        <is>
          <t>IR Trend</t>
        </is>
      </c>
      <c r="E4" s="18" t="inlineStr">
        <is>
          <t>FX</t>
        </is>
      </c>
      <c r="F4" s="18" t="inlineStr">
        <is>
          <t>M2</t>
        </is>
      </c>
      <c r="G4" s="18" t="inlineStr">
        <is>
          <t>VN Bonds</t>
        </is>
      </c>
      <c r="H4" s="18" t="inlineStr">
        <is>
          <t>DXY</t>
        </is>
      </c>
      <c r="I4" s="18" t="inlineStr">
        <is>
          <t>US10Y</t>
        </is>
      </c>
      <c r="J4" s="18" t="inlineStr">
        <is>
          <t>NFF</t>
        </is>
      </c>
      <c r="K4" s="18" t="inlineStr">
        <is>
          <t>JPY Carry</t>
        </is>
      </c>
      <c r="L4" s="18" t="inlineStr">
        <is>
          <t>Oil Shock</t>
        </is>
      </c>
      <c r="M4" s="18" t="inlineStr">
        <is>
          <t>P/E</t>
        </is>
      </c>
      <c r="N4" s="18" t="inlineStr">
        <is>
          <t>P/B</t>
        </is>
      </c>
      <c r="O4" s="18" t="inlineStr">
        <is>
          <t>Margin</t>
        </is>
      </c>
      <c r="P4" s="18" t="inlineStr">
        <is>
          <t>EYG</t>
        </is>
      </c>
      <c r="Q4" s="18" t="inlineStr">
        <is>
          <t>MLR Signal</t>
        </is>
      </c>
      <c r="R4" s="18" t="inlineStr">
        <is>
          <t>VAR Signal</t>
        </is>
      </c>
      <c r="S4" s="18" t="inlineStr">
        <is>
          <t>ML Quality</t>
        </is>
      </c>
      <c r="T4" s="18" t="inlineStr">
        <is>
          <t>ML Direction</t>
        </is>
      </c>
      <c r="U4" s="18" t="inlineStr">
        <is>
          <t>FTSE + Rebal</t>
        </is>
      </c>
      <c r="V4" s="18" t="inlineStr">
        <is>
          <t>ADTV</t>
        </is>
      </c>
      <c r="W4" s="18" t="inlineStr">
        <is>
          <t>ETF Flow</t>
        </is>
      </c>
    </row>
    <row r="5">
      <c r="A5" s="28">
        <f>'02_Market_Inputs'!A5</f>
        <v/>
      </c>
      <c r="B5" s="28">
        <f>'02_Market_Inputs'!B5</f>
        <v/>
      </c>
      <c r="C5" s="10">
        <f>IF(ISBLANK('02_Market_Inputs'!E5),50,MIN(100,MAX(0,100-('02_Market_Inputs'!E5-1)*14)))</f>
        <v/>
      </c>
      <c r="D5" s="10">
        <f>IF(ISBLANK('02_Market_Inputs'!F5),50,MIN(100,MAX(0,50-'02_Market_Inputs'!F5*100)))</f>
        <v/>
      </c>
      <c r="E5" s="10">
        <f>IF(ISBLANK('02_Market_Inputs'!I5),50,MIN(100,MAX(0,50-'02_Market_Inputs'!I5*15)))</f>
        <v/>
      </c>
      <c r="F5" s="10">
        <f>IF(ISBLANK('02_Market_Inputs'!J5),50,MIN(100,MAX(0,80-ABS('02_Market_Inputs'!J5-12)*4)))</f>
        <v/>
      </c>
      <c r="G5" s="10">
        <f>IF(OR(ISBLANK('02_Market_Inputs'!G5),ISBLANK('02_Market_Inputs'!H5)),50,(MIN(100,MAX(0,100-('02_Market_Inputs'!G5-2.5)*28.5))+MIN(100,MAX(0,('02_Market_Inputs'!H5+0.2)*58)))/2)</f>
        <v/>
      </c>
      <c r="H5" s="10">
        <f>IF(ISBLANK('02_Market_Inputs'!K5),50,MIN(100,MAX(0,50-'02_Market_Inputs'!K5*20)))</f>
        <v/>
      </c>
      <c r="I5" s="10">
        <f>IF(ISBLANK('02_Market_Inputs'!L5),50,MIN(100,MAX(0,100-'02_Market_Inputs'!L5*20)))</f>
        <v/>
      </c>
      <c r="J5" s="10">
        <f>IF(ISBLANK('02_Market_Inputs'!M5),50,MIN(100,MAX(0,50+'02_Market_Inputs'!M5*15)))</f>
        <v/>
      </c>
      <c r="K5" s="10">
        <f>IF(ISBLANK('02_Market_Inputs'!O5),50,MIN(100,MAX(0,50+'02_Market_Inputs'!O5*15)))</f>
        <v/>
      </c>
      <c r="L5" s="10">
        <f>IF(OR(ISBLANK('02_Market_Inputs'!P5),'02_Market_Inputs'!P5&lt;=0),50,MIN(100,MAX(0,100-'02_Market_Inputs'!P5)))</f>
        <v/>
      </c>
      <c r="M5" s="10">
        <f>IF(ISBLANK('02_Market_Inputs'!Q5),50,MIN(100,MAX(0,50-'02_Market_Inputs'!Q5*25)))</f>
        <v/>
      </c>
      <c r="N5" s="10">
        <f>IF(ISBLANK('02_Market_Inputs'!R5),50,MIN(100,MAX(0,50-'02_Market_Inputs'!R5*25)))</f>
        <v/>
      </c>
      <c r="O5" s="10">
        <f>IF(ISBLANK('02_Market_Inputs'!S5),50,MIN(100,MAX(0,100-'02_Market_Inputs'!S5)))</f>
        <v/>
      </c>
      <c r="P5" s="10">
        <f>IF(ISBLANK('02_Market_Inputs'!T5),50,MIN(100,MAX(0,50+'02_Market_Inputs'!T5*25)))</f>
        <v/>
      </c>
      <c r="Q5" s="10">
        <f>'06_MLR_Regression'!H5</f>
        <v/>
      </c>
      <c r="R5" s="10">
        <f>'07_VAR_Granger'!K5</f>
        <v/>
      </c>
      <c r="S5" s="10">
        <f>'08_ML_Validation'!K5</f>
        <v/>
      </c>
      <c r="T5" s="10">
        <f>'08_ML_Validation'!L5</f>
        <v/>
      </c>
      <c r="U5" s="10">
        <f>IF('02_Market_Inputs'!W5="completed",85,IF('02_Market_Inputs'!W5="confirmed",75,IF('02_Market_Inputs'!W5="pending",55,50)))+IF('02_Market_Inputs'!X5&lt;=1,20,IF('02_Market_Inputs'!X5&lt;=2,12,IF('02_Market_Inputs'!X5&lt;=3,6,0)))</f>
        <v/>
      </c>
      <c r="V5" s="10">
        <f>IF(ISBLANK('02_Market_Inputs'!V5),50,MIN(100,MAX(0,50+'02_Market_Inputs'!V5*100)))</f>
        <v/>
      </c>
      <c r="W5" s="10">
        <f>IF(ISBLANK('02_Market_Inputs'!Y5),50,MIN(100,MAX(0,50+'02_Market_Inputs'!Y5*15)))</f>
        <v/>
      </c>
    </row>
    <row r="6">
      <c r="A6" s="28">
        <f>'02_Market_Inputs'!A6</f>
        <v/>
      </c>
      <c r="B6" s="28">
        <f>'02_Market_Inputs'!B6</f>
        <v/>
      </c>
      <c r="C6" s="10">
        <f>IF(ISBLANK('02_Market_Inputs'!E6),50,MIN(100,MAX(0,100-('02_Market_Inputs'!E6-1)*14)))</f>
        <v/>
      </c>
      <c r="D6" s="10">
        <f>IF(ISBLANK('02_Market_Inputs'!F6),50,MIN(100,MAX(0,50-'02_Market_Inputs'!F6*100)))</f>
        <v/>
      </c>
      <c r="E6" s="10">
        <f>IF(ISBLANK('02_Market_Inputs'!I6),50,MIN(100,MAX(0,50-'02_Market_Inputs'!I6*15)))</f>
        <v/>
      </c>
      <c r="F6" s="10">
        <f>IF(ISBLANK('02_Market_Inputs'!J6),50,MIN(100,MAX(0,80-ABS('02_Market_Inputs'!J6-12)*4)))</f>
        <v/>
      </c>
      <c r="G6" s="10">
        <f>IF(OR(ISBLANK('02_Market_Inputs'!G6),ISBLANK('02_Market_Inputs'!H6)),50,(MIN(100,MAX(0,100-('02_Market_Inputs'!G6-2.5)*28.5))+MIN(100,MAX(0,('02_Market_Inputs'!H6+0.2)*58)))/2)</f>
        <v/>
      </c>
      <c r="H6" s="10">
        <f>IF(ISBLANK('02_Market_Inputs'!K6),50,MIN(100,MAX(0,50-'02_Market_Inputs'!K6*20)))</f>
        <v/>
      </c>
      <c r="I6" s="10">
        <f>IF(ISBLANK('02_Market_Inputs'!L6),50,MIN(100,MAX(0,100-'02_Market_Inputs'!L6*20)))</f>
        <v/>
      </c>
      <c r="J6" s="10">
        <f>IF(ISBLANK('02_Market_Inputs'!M6),50,MIN(100,MAX(0,50+'02_Market_Inputs'!M6*15)))</f>
        <v/>
      </c>
      <c r="K6" s="10">
        <f>IF(ISBLANK('02_Market_Inputs'!O6),50,MIN(100,MAX(0,50+'02_Market_Inputs'!O6*15)))</f>
        <v/>
      </c>
      <c r="L6" s="10">
        <f>IF(OR(ISBLANK('02_Market_Inputs'!P6),'02_Market_Inputs'!P6&lt;=0),50,MIN(100,MAX(0,100-'02_Market_Inputs'!P6)))</f>
        <v/>
      </c>
      <c r="M6" s="10">
        <f>IF(ISBLANK('02_Market_Inputs'!Q6),50,MIN(100,MAX(0,50-'02_Market_Inputs'!Q6*25)))</f>
        <v/>
      </c>
      <c r="N6" s="10">
        <f>IF(ISBLANK('02_Market_Inputs'!R6),50,MIN(100,MAX(0,50-'02_Market_Inputs'!R6*25)))</f>
        <v/>
      </c>
      <c r="O6" s="10">
        <f>IF(ISBLANK('02_Market_Inputs'!S6),50,MIN(100,MAX(0,100-'02_Market_Inputs'!S6)))</f>
        <v/>
      </c>
      <c r="P6" s="10">
        <f>IF(ISBLANK('02_Market_Inputs'!T6),50,MIN(100,MAX(0,50+'02_Market_Inputs'!T6*25)))</f>
        <v/>
      </c>
      <c r="Q6" s="10">
        <f>'06_MLR_Regression'!H6</f>
        <v/>
      </c>
      <c r="R6" s="10">
        <f>'07_VAR_Granger'!K6</f>
        <v/>
      </c>
      <c r="S6" s="10">
        <f>'08_ML_Validation'!K6</f>
        <v/>
      </c>
      <c r="T6" s="10">
        <f>'08_ML_Validation'!L6</f>
        <v/>
      </c>
      <c r="U6" s="10">
        <f>IF('02_Market_Inputs'!W6="completed",85,IF('02_Market_Inputs'!W6="confirmed",75,IF('02_Market_Inputs'!W6="pending",55,50)))+IF('02_Market_Inputs'!X6&lt;=1,20,IF('02_Market_Inputs'!X6&lt;=2,12,IF('02_Market_Inputs'!X6&lt;=3,6,0)))</f>
        <v/>
      </c>
      <c r="V6" s="10">
        <f>IF(ISBLANK('02_Market_Inputs'!V6),50,MIN(100,MAX(0,50+'02_Market_Inputs'!V6*100)))</f>
        <v/>
      </c>
      <c r="W6" s="10">
        <f>IF(ISBLANK('02_Market_Inputs'!Y6),50,MIN(100,MAX(0,50+'02_Market_Inputs'!Y6*15)))</f>
        <v/>
      </c>
    </row>
    <row r="7">
      <c r="A7" s="28">
        <f>'02_Market_Inputs'!A7</f>
        <v/>
      </c>
      <c r="B7" s="28">
        <f>'02_Market_Inputs'!B7</f>
        <v/>
      </c>
      <c r="C7" s="10">
        <f>IF(ISBLANK('02_Market_Inputs'!E7),50,MIN(100,MAX(0,100-('02_Market_Inputs'!E7-1)*14)))</f>
        <v/>
      </c>
      <c r="D7" s="10">
        <f>IF(ISBLANK('02_Market_Inputs'!F7),50,MIN(100,MAX(0,50-'02_Market_Inputs'!F7*100)))</f>
        <v/>
      </c>
      <c r="E7" s="10">
        <f>IF(ISBLANK('02_Market_Inputs'!I7),50,MIN(100,MAX(0,50-'02_Market_Inputs'!I7*15)))</f>
        <v/>
      </c>
      <c r="F7" s="10">
        <f>IF(ISBLANK('02_Market_Inputs'!J7),50,MIN(100,MAX(0,80-ABS('02_Market_Inputs'!J7-12)*4)))</f>
        <v/>
      </c>
      <c r="G7" s="10">
        <f>IF(OR(ISBLANK('02_Market_Inputs'!G7),ISBLANK('02_Market_Inputs'!H7)),50,(MIN(100,MAX(0,100-('02_Market_Inputs'!G7-2.5)*28.5))+MIN(100,MAX(0,('02_Market_Inputs'!H7+0.2)*58)))/2)</f>
        <v/>
      </c>
      <c r="H7" s="10">
        <f>IF(ISBLANK('02_Market_Inputs'!K7),50,MIN(100,MAX(0,50-'02_Market_Inputs'!K7*20)))</f>
        <v/>
      </c>
      <c r="I7" s="10">
        <f>IF(ISBLANK('02_Market_Inputs'!L7),50,MIN(100,MAX(0,100-'02_Market_Inputs'!L7*20)))</f>
        <v/>
      </c>
      <c r="J7" s="10">
        <f>IF(ISBLANK('02_Market_Inputs'!M7),50,MIN(100,MAX(0,50+'02_Market_Inputs'!M7*15)))</f>
        <v/>
      </c>
      <c r="K7" s="10">
        <f>IF(ISBLANK('02_Market_Inputs'!O7),50,MIN(100,MAX(0,50+'02_Market_Inputs'!O7*15)))</f>
        <v/>
      </c>
      <c r="L7" s="10">
        <f>IF(OR(ISBLANK('02_Market_Inputs'!P7),'02_Market_Inputs'!P7&lt;=0),50,MIN(100,MAX(0,100-'02_Market_Inputs'!P7)))</f>
        <v/>
      </c>
      <c r="M7" s="10">
        <f>IF(ISBLANK('02_Market_Inputs'!Q7),50,MIN(100,MAX(0,50-'02_Market_Inputs'!Q7*25)))</f>
        <v/>
      </c>
      <c r="N7" s="10">
        <f>IF(ISBLANK('02_Market_Inputs'!R7),50,MIN(100,MAX(0,50-'02_Market_Inputs'!R7*25)))</f>
        <v/>
      </c>
      <c r="O7" s="10">
        <f>IF(ISBLANK('02_Market_Inputs'!S7),50,MIN(100,MAX(0,100-'02_Market_Inputs'!S7)))</f>
        <v/>
      </c>
      <c r="P7" s="10">
        <f>IF(ISBLANK('02_Market_Inputs'!T7),50,MIN(100,MAX(0,50+'02_Market_Inputs'!T7*25)))</f>
        <v/>
      </c>
      <c r="Q7" s="10">
        <f>'06_MLR_Regression'!H7</f>
        <v/>
      </c>
      <c r="R7" s="10">
        <f>'07_VAR_Granger'!K7</f>
        <v/>
      </c>
      <c r="S7" s="10">
        <f>'08_ML_Validation'!K7</f>
        <v/>
      </c>
      <c r="T7" s="10">
        <f>'08_ML_Validation'!L7</f>
        <v/>
      </c>
      <c r="U7" s="10">
        <f>IF('02_Market_Inputs'!W7="completed",85,IF('02_Market_Inputs'!W7="confirmed",75,IF('02_Market_Inputs'!W7="pending",55,50)))+IF('02_Market_Inputs'!X7&lt;=1,20,IF('02_Market_Inputs'!X7&lt;=2,12,IF('02_Market_Inputs'!X7&lt;=3,6,0)))</f>
        <v/>
      </c>
      <c r="V7" s="10">
        <f>IF(ISBLANK('02_Market_Inputs'!V7),50,MIN(100,MAX(0,50+'02_Market_Inputs'!V7*100)))</f>
        <v/>
      </c>
      <c r="W7" s="10">
        <f>IF(ISBLANK('02_Market_Inputs'!Y7),50,MIN(100,MAX(0,50+'02_Market_Inputs'!Y7*15)))</f>
        <v/>
      </c>
    </row>
    <row r="8">
      <c r="A8" s="28">
        <f>'02_Market_Inputs'!A8</f>
        <v/>
      </c>
      <c r="B8" s="28">
        <f>'02_Market_Inputs'!B8</f>
        <v/>
      </c>
      <c r="C8" s="10">
        <f>IF(ISBLANK('02_Market_Inputs'!E8),50,MIN(100,MAX(0,100-('02_Market_Inputs'!E8-1)*14)))</f>
        <v/>
      </c>
      <c r="D8" s="10">
        <f>IF(ISBLANK('02_Market_Inputs'!F8),50,MIN(100,MAX(0,50-'02_Market_Inputs'!F8*100)))</f>
        <v/>
      </c>
      <c r="E8" s="10">
        <f>IF(ISBLANK('02_Market_Inputs'!I8),50,MIN(100,MAX(0,50-'02_Market_Inputs'!I8*15)))</f>
        <v/>
      </c>
      <c r="F8" s="10">
        <f>IF(ISBLANK('02_Market_Inputs'!J8),50,MIN(100,MAX(0,80-ABS('02_Market_Inputs'!J8-12)*4)))</f>
        <v/>
      </c>
      <c r="G8" s="10">
        <f>IF(OR(ISBLANK('02_Market_Inputs'!G8),ISBLANK('02_Market_Inputs'!H8)),50,(MIN(100,MAX(0,100-('02_Market_Inputs'!G8-2.5)*28.5))+MIN(100,MAX(0,('02_Market_Inputs'!H8+0.2)*58)))/2)</f>
        <v/>
      </c>
      <c r="H8" s="10">
        <f>IF(ISBLANK('02_Market_Inputs'!K8),50,MIN(100,MAX(0,50-'02_Market_Inputs'!K8*20)))</f>
        <v/>
      </c>
      <c r="I8" s="10">
        <f>IF(ISBLANK('02_Market_Inputs'!L8),50,MIN(100,MAX(0,100-'02_Market_Inputs'!L8*20)))</f>
        <v/>
      </c>
      <c r="J8" s="10">
        <f>IF(ISBLANK('02_Market_Inputs'!M8),50,MIN(100,MAX(0,50+'02_Market_Inputs'!M8*15)))</f>
        <v/>
      </c>
      <c r="K8" s="10">
        <f>IF(ISBLANK('02_Market_Inputs'!O8),50,MIN(100,MAX(0,50+'02_Market_Inputs'!O8*15)))</f>
        <v/>
      </c>
      <c r="L8" s="10">
        <f>IF(OR(ISBLANK('02_Market_Inputs'!P8),'02_Market_Inputs'!P8&lt;=0),50,MIN(100,MAX(0,100-'02_Market_Inputs'!P8)))</f>
        <v/>
      </c>
      <c r="M8" s="10">
        <f>IF(ISBLANK('02_Market_Inputs'!Q8),50,MIN(100,MAX(0,50-'02_Market_Inputs'!Q8*25)))</f>
        <v/>
      </c>
      <c r="N8" s="10">
        <f>IF(ISBLANK('02_Market_Inputs'!R8),50,MIN(100,MAX(0,50-'02_Market_Inputs'!R8*25)))</f>
        <v/>
      </c>
      <c r="O8" s="10">
        <f>IF(ISBLANK('02_Market_Inputs'!S8),50,MIN(100,MAX(0,100-'02_Market_Inputs'!S8)))</f>
        <v/>
      </c>
      <c r="P8" s="10">
        <f>IF(ISBLANK('02_Market_Inputs'!T8),50,MIN(100,MAX(0,50+'02_Market_Inputs'!T8*25)))</f>
        <v/>
      </c>
      <c r="Q8" s="10">
        <f>'06_MLR_Regression'!H8</f>
        <v/>
      </c>
      <c r="R8" s="10">
        <f>'07_VAR_Granger'!K8</f>
        <v/>
      </c>
      <c r="S8" s="10">
        <f>'08_ML_Validation'!K8</f>
        <v/>
      </c>
      <c r="T8" s="10">
        <f>'08_ML_Validation'!L8</f>
        <v/>
      </c>
      <c r="U8" s="10">
        <f>IF('02_Market_Inputs'!W8="completed",85,IF('02_Market_Inputs'!W8="confirmed",75,IF('02_Market_Inputs'!W8="pending",55,50)))+IF('02_Market_Inputs'!X8&lt;=1,20,IF('02_Market_Inputs'!X8&lt;=2,12,IF('02_Market_Inputs'!X8&lt;=3,6,0)))</f>
        <v/>
      </c>
      <c r="V8" s="10">
        <f>IF(ISBLANK('02_Market_Inputs'!V8),50,MIN(100,MAX(0,50+'02_Market_Inputs'!V8*100)))</f>
        <v/>
      </c>
      <c r="W8" s="10">
        <f>IF(ISBLANK('02_Market_Inputs'!Y8),50,MIN(100,MAX(0,50+'02_Market_Inputs'!Y8*15)))</f>
        <v/>
      </c>
    </row>
    <row r="9">
      <c r="A9" s="28">
        <f>'02_Market_Inputs'!A9</f>
        <v/>
      </c>
      <c r="B9" s="28">
        <f>'02_Market_Inputs'!B9</f>
        <v/>
      </c>
      <c r="C9" s="10">
        <f>IF(ISBLANK('02_Market_Inputs'!E9),50,MIN(100,MAX(0,100-('02_Market_Inputs'!E9-1)*14)))</f>
        <v/>
      </c>
      <c r="D9" s="10">
        <f>IF(ISBLANK('02_Market_Inputs'!F9),50,MIN(100,MAX(0,50-'02_Market_Inputs'!F9*100)))</f>
        <v/>
      </c>
      <c r="E9" s="10">
        <f>IF(ISBLANK('02_Market_Inputs'!I9),50,MIN(100,MAX(0,50-'02_Market_Inputs'!I9*15)))</f>
        <v/>
      </c>
      <c r="F9" s="10">
        <f>IF(ISBLANK('02_Market_Inputs'!J9),50,MIN(100,MAX(0,80-ABS('02_Market_Inputs'!J9-12)*4)))</f>
        <v/>
      </c>
      <c r="G9" s="10">
        <f>IF(OR(ISBLANK('02_Market_Inputs'!G9),ISBLANK('02_Market_Inputs'!H9)),50,(MIN(100,MAX(0,100-('02_Market_Inputs'!G9-2.5)*28.5))+MIN(100,MAX(0,('02_Market_Inputs'!H9+0.2)*58)))/2)</f>
        <v/>
      </c>
      <c r="H9" s="10">
        <f>IF(ISBLANK('02_Market_Inputs'!K9),50,MIN(100,MAX(0,50-'02_Market_Inputs'!K9*20)))</f>
        <v/>
      </c>
      <c r="I9" s="10">
        <f>IF(ISBLANK('02_Market_Inputs'!L9),50,MIN(100,MAX(0,100-'02_Market_Inputs'!L9*20)))</f>
        <v/>
      </c>
      <c r="J9" s="10">
        <f>IF(ISBLANK('02_Market_Inputs'!M9),50,MIN(100,MAX(0,50+'02_Market_Inputs'!M9*15)))</f>
        <v/>
      </c>
      <c r="K9" s="10">
        <f>IF(ISBLANK('02_Market_Inputs'!O9),50,MIN(100,MAX(0,50+'02_Market_Inputs'!O9*15)))</f>
        <v/>
      </c>
      <c r="L9" s="10">
        <f>IF(OR(ISBLANK('02_Market_Inputs'!P9),'02_Market_Inputs'!P9&lt;=0),50,MIN(100,MAX(0,100-'02_Market_Inputs'!P9)))</f>
        <v/>
      </c>
      <c r="M9" s="10">
        <f>IF(ISBLANK('02_Market_Inputs'!Q9),50,MIN(100,MAX(0,50-'02_Market_Inputs'!Q9*25)))</f>
        <v/>
      </c>
      <c r="N9" s="10">
        <f>IF(ISBLANK('02_Market_Inputs'!R9),50,MIN(100,MAX(0,50-'02_Market_Inputs'!R9*25)))</f>
        <v/>
      </c>
      <c r="O9" s="10">
        <f>IF(ISBLANK('02_Market_Inputs'!S9),50,MIN(100,MAX(0,100-'02_Market_Inputs'!S9)))</f>
        <v/>
      </c>
      <c r="P9" s="10">
        <f>IF(ISBLANK('02_Market_Inputs'!T9),50,MIN(100,MAX(0,50+'02_Market_Inputs'!T9*25)))</f>
        <v/>
      </c>
      <c r="Q9" s="10">
        <f>'06_MLR_Regression'!H9</f>
        <v/>
      </c>
      <c r="R9" s="10">
        <f>'07_VAR_Granger'!K9</f>
        <v/>
      </c>
      <c r="S9" s="10">
        <f>'08_ML_Validation'!K9</f>
        <v/>
      </c>
      <c r="T9" s="10">
        <f>'08_ML_Validation'!L9</f>
        <v/>
      </c>
      <c r="U9" s="10">
        <f>IF('02_Market_Inputs'!W9="completed",85,IF('02_Market_Inputs'!W9="confirmed",75,IF('02_Market_Inputs'!W9="pending",55,50)))+IF('02_Market_Inputs'!X9&lt;=1,20,IF('02_Market_Inputs'!X9&lt;=2,12,IF('02_Market_Inputs'!X9&lt;=3,6,0)))</f>
        <v/>
      </c>
      <c r="V9" s="10">
        <f>IF(ISBLANK('02_Market_Inputs'!V9),50,MIN(100,MAX(0,50+'02_Market_Inputs'!V9*100)))</f>
        <v/>
      </c>
      <c r="W9" s="10">
        <f>IF(ISBLANK('02_Market_Inputs'!Y9),50,MIN(100,MAX(0,50+'02_Market_Inputs'!Y9*15)))</f>
        <v/>
      </c>
    </row>
    <row r="10">
      <c r="A10" s="28">
        <f>'02_Market_Inputs'!A10</f>
        <v/>
      </c>
      <c r="B10" s="28">
        <f>'02_Market_Inputs'!B10</f>
        <v/>
      </c>
      <c r="C10" s="10">
        <f>IF(ISBLANK('02_Market_Inputs'!E10),50,MIN(100,MAX(0,100-('02_Market_Inputs'!E10-1)*14)))</f>
        <v/>
      </c>
      <c r="D10" s="10">
        <f>IF(ISBLANK('02_Market_Inputs'!F10),50,MIN(100,MAX(0,50-'02_Market_Inputs'!F10*100)))</f>
        <v/>
      </c>
      <c r="E10" s="10">
        <f>IF(ISBLANK('02_Market_Inputs'!I10),50,MIN(100,MAX(0,50-'02_Market_Inputs'!I10*15)))</f>
        <v/>
      </c>
      <c r="F10" s="10">
        <f>IF(ISBLANK('02_Market_Inputs'!J10),50,MIN(100,MAX(0,80-ABS('02_Market_Inputs'!J10-12)*4)))</f>
        <v/>
      </c>
      <c r="G10" s="10">
        <f>IF(OR(ISBLANK('02_Market_Inputs'!G10),ISBLANK('02_Market_Inputs'!H10)),50,(MIN(100,MAX(0,100-('02_Market_Inputs'!G10-2.5)*28.5))+MIN(100,MAX(0,('02_Market_Inputs'!H10+0.2)*58)))/2)</f>
        <v/>
      </c>
      <c r="H10" s="10">
        <f>IF(ISBLANK('02_Market_Inputs'!K10),50,MIN(100,MAX(0,50-'02_Market_Inputs'!K10*20)))</f>
        <v/>
      </c>
      <c r="I10" s="10">
        <f>IF(ISBLANK('02_Market_Inputs'!L10),50,MIN(100,MAX(0,100-'02_Market_Inputs'!L10*20)))</f>
        <v/>
      </c>
      <c r="J10" s="10">
        <f>IF(ISBLANK('02_Market_Inputs'!M10),50,MIN(100,MAX(0,50+'02_Market_Inputs'!M10*15)))</f>
        <v/>
      </c>
      <c r="K10" s="10">
        <f>IF(ISBLANK('02_Market_Inputs'!O10),50,MIN(100,MAX(0,50+'02_Market_Inputs'!O10*15)))</f>
        <v/>
      </c>
      <c r="L10" s="10">
        <f>IF(OR(ISBLANK('02_Market_Inputs'!P10),'02_Market_Inputs'!P10&lt;=0),50,MIN(100,MAX(0,100-'02_Market_Inputs'!P10)))</f>
        <v/>
      </c>
      <c r="M10" s="10">
        <f>IF(ISBLANK('02_Market_Inputs'!Q10),50,MIN(100,MAX(0,50-'02_Market_Inputs'!Q10*25)))</f>
        <v/>
      </c>
      <c r="N10" s="10">
        <f>IF(ISBLANK('02_Market_Inputs'!R10),50,MIN(100,MAX(0,50-'02_Market_Inputs'!R10*25)))</f>
        <v/>
      </c>
      <c r="O10" s="10">
        <f>IF(ISBLANK('02_Market_Inputs'!S10),50,MIN(100,MAX(0,100-'02_Market_Inputs'!S10)))</f>
        <v/>
      </c>
      <c r="P10" s="10">
        <f>IF(ISBLANK('02_Market_Inputs'!T10),50,MIN(100,MAX(0,50+'02_Market_Inputs'!T10*25)))</f>
        <v/>
      </c>
      <c r="Q10" s="10">
        <f>'06_MLR_Regression'!H10</f>
        <v/>
      </c>
      <c r="R10" s="10">
        <f>'07_VAR_Granger'!K10</f>
        <v/>
      </c>
      <c r="S10" s="10">
        <f>'08_ML_Validation'!K10</f>
        <v/>
      </c>
      <c r="T10" s="10">
        <f>'08_ML_Validation'!L10</f>
        <v/>
      </c>
      <c r="U10" s="10">
        <f>IF('02_Market_Inputs'!W10="completed",85,IF('02_Market_Inputs'!W10="confirmed",75,IF('02_Market_Inputs'!W10="pending",55,50)))+IF('02_Market_Inputs'!X10&lt;=1,20,IF('02_Market_Inputs'!X10&lt;=2,12,IF('02_Market_Inputs'!X10&lt;=3,6,0)))</f>
        <v/>
      </c>
      <c r="V10" s="10">
        <f>IF(ISBLANK('02_Market_Inputs'!V10),50,MIN(100,MAX(0,50+'02_Market_Inputs'!V10*100)))</f>
        <v/>
      </c>
      <c r="W10" s="10">
        <f>IF(ISBLANK('02_Market_Inputs'!Y10),50,MIN(100,MAX(0,50+'02_Market_Inputs'!Y10*15)))</f>
        <v/>
      </c>
    </row>
    <row r="11">
      <c r="A11" s="28">
        <f>'02_Market_Inputs'!A11</f>
        <v/>
      </c>
      <c r="B11" s="28">
        <f>'02_Market_Inputs'!B11</f>
        <v/>
      </c>
      <c r="C11" s="10">
        <f>IF(ISBLANK('02_Market_Inputs'!E11),50,MIN(100,MAX(0,100-('02_Market_Inputs'!E11-1)*14)))</f>
        <v/>
      </c>
      <c r="D11" s="10">
        <f>IF(ISBLANK('02_Market_Inputs'!F11),50,MIN(100,MAX(0,50-'02_Market_Inputs'!F11*100)))</f>
        <v/>
      </c>
      <c r="E11" s="10">
        <f>IF(ISBLANK('02_Market_Inputs'!I11),50,MIN(100,MAX(0,50-'02_Market_Inputs'!I11*15)))</f>
        <v/>
      </c>
      <c r="F11" s="10">
        <f>IF(ISBLANK('02_Market_Inputs'!J11),50,MIN(100,MAX(0,80-ABS('02_Market_Inputs'!J11-12)*4)))</f>
        <v/>
      </c>
      <c r="G11" s="10">
        <f>IF(OR(ISBLANK('02_Market_Inputs'!G11),ISBLANK('02_Market_Inputs'!H11)),50,(MIN(100,MAX(0,100-('02_Market_Inputs'!G11-2.5)*28.5))+MIN(100,MAX(0,('02_Market_Inputs'!H11+0.2)*58)))/2)</f>
        <v/>
      </c>
      <c r="H11" s="10">
        <f>IF(ISBLANK('02_Market_Inputs'!K11),50,MIN(100,MAX(0,50-'02_Market_Inputs'!K11*20)))</f>
        <v/>
      </c>
      <c r="I11" s="10">
        <f>IF(ISBLANK('02_Market_Inputs'!L11),50,MIN(100,MAX(0,100-'02_Market_Inputs'!L11*20)))</f>
        <v/>
      </c>
      <c r="J11" s="10">
        <f>IF(ISBLANK('02_Market_Inputs'!M11),50,MIN(100,MAX(0,50+'02_Market_Inputs'!M11*15)))</f>
        <v/>
      </c>
      <c r="K11" s="10">
        <f>IF(ISBLANK('02_Market_Inputs'!O11),50,MIN(100,MAX(0,50+'02_Market_Inputs'!O11*15)))</f>
        <v/>
      </c>
      <c r="L11" s="10">
        <f>IF(OR(ISBLANK('02_Market_Inputs'!P11),'02_Market_Inputs'!P11&lt;=0),50,MIN(100,MAX(0,100-'02_Market_Inputs'!P11)))</f>
        <v/>
      </c>
      <c r="M11" s="10">
        <f>IF(ISBLANK('02_Market_Inputs'!Q11),50,MIN(100,MAX(0,50-'02_Market_Inputs'!Q11*25)))</f>
        <v/>
      </c>
      <c r="N11" s="10">
        <f>IF(ISBLANK('02_Market_Inputs'!R11),50,MIN(100,MAX(0,50-'02_Market_Inputs'!R11*25)))</f>
        <v/>
      </c>
      <c r="O11" s="10">
        <f>IF(ISBLANK('02_Market_Inputs'!S11),50,MIN(100,MAX(0,100-'02_Market_Inputs'!S11)))</f>
        <v/>
      </c>
      <c r="P11" s="10">
        <f>IF(ISBLANK('02_Market_Inputs'!T11),50,MIN(100,MAX(0,50+'02_Market_Inputs'!T11*25)))</f>
        <v/>
      </c>
      <c r="Q11" s="10">
        <f>'06_MLR_Regression'!H11</f>
        <v/>
      </c>
      <c r="R11" s="10">
        <f>'07_VAR_Granger'!K11</f>
        <v/>
      </c>
      <c r="S11" s="10">
        <f>'08_ML_Validation'!K11</f>
        <v/>
      </c>
      <c r="T11" s="10">
        <f>'08_ML_Validation'!L11</f>
        <v/>
      </c>
      <c r="U11" s="10">
        <f>IF('02_Market_Inputs'!W11="completed",85,IF('02_Market_Inputs'!W11="confirmed",75,IF('02_Market_Inputs'!W11="pending",55,50)))+IF('02_Market_Inputs'!X11&lt;=1,20,IF('02_Market_Inputs'!X11&lt;=2,12,IF('02_Market_Inputs'!X11&lt;=3,6,0)))</f>
        <v/>
      </c>
      <c r="V11" s="10">
        <f>IF(ISBLANK('02_Market_Inputs'!V11),50,MIN(100,MAX(0,50+'02_Market_Inputs'!V11*100)))</f>
        <v/>
      </c>
      <c r="W11" s="10">
        <f>IF(ISBLANK('02_Market_Inputs'!Y11),50,MIN(100,MAX(0,50+'02_Market_Inputs'!Y11*15)))</f>
        <v/>
      </c>
    </row>
    <row r="12">
      <c r="A12" s="28">
        <f>'02_Market_Inputs'!A12</f>
        <v/>
      </c>
      <c r="B12" s="28">
        <f>'02_Market_Inputs'!B12</f>
        <v/>
      </c>
      <c r="C12" s="10">
        <f>IF(ISBLANK('02_Market_Inputs'!E12),50,MIN(100,MAX(0,100-('02_Market_Inputs'!E12-1)*14)))</f>
        <v/>
      </c>
      <c r="D12" s="10">
        <f>IF(ISBLANK('02_Market_Inputs'!F12),50,MIN(100,MAX(0,50-'02_Market_Inputs'!F12*100)))</f>
        <v/>
      </c>
      <c r="E12" s="10">
        <f>IF(ISBLANK('02_Market_Inputs'!I12),50,MIN(100,MAX(0,50-'02_Market_Inputs'!I12*15)))</f>
        <v/>
      </c>
      <c r="F12" s="10">
        <f>IF(ISBLANK('02_Market_Inputs'!J12),50,MIN(100,MAX(0,80-ABS('02_Market_Inputs'!J12-12)*4)))</f>
        <v/>
      </c>
      <c r="G12" s="10">
        <f>IF(OR(ISBLANK('02_Market_Inputs'!G12),ISBLANK('02_Market_Inputs'!H12)),50,(MIN(100,MAX(0,100-('02_Market_Inputs'!G12-2.5)*28.5))+MIN(100,MAX(0,('02_Market_Inputs'!H12+0.2)*58)))/2)</f>
        <v/>
      </c>
      <c r="H12" s="10">
        <f>IF(ISBLANK('02_Market_Inputs'!K12),50,MIN(100,MAX(0,50-'02_Market_Inputs'!K12*20)))</f>
        <v/>
      </c>
      <c r="I12" s="10">
        <f>IF(ISBLANK('02_Market_Inputs'!L12),50,MIN(100,MAX(0,100-'02_Market_Inputs'!L12*20)))</f>
        <v/>
      </c>
      <c r="J12" s="10">
        <f>IF(ISBLANK('02_Market_Inputs'!M12),50,MIN(100,MAX(0,50+'02_Market_Inputs'!M12*15)))</f>
        <v/>
      </c>
      <c r="K12" s="10">
        <f>IF(ISBLANK('02_Market_Inputs'!O12),50,MIN(100,MAX(0,50+'02_Market_Inputs'!O12*15)))</f>
        <v/>
      </c>
      <c r="L12" s="10">
        <f>IF(OR(ISBLANK('02_Market_Inputs'!P12),'02_Market_Inputs'!P12&lt;=0),50,MIN(100,MAX(0,100-'02_Market_Inputs'!P12)))</f>
        <v/>
      </c>
      <c r="M12" s="10">
        <f>IF(ISBLANK('02_Market_Inputs'!Q12),50,MIN(100,MAX(0,50-'02_Market_Inputs'!Q12*25)))</f>
        <v/>
      </c>
      <c r="N12" s="10">
        <f>IF(ISBLANK('02_Market_Inputs'!R12),50,MIN(100,MAX(0,50-'02_Market_Inputs'!R12*25)))</f>
        <v/>
      </c>
      <c r="O12" s="10">
        <f>IF(ISBLANK('02_Market_Inputs'!S12),50,MIN(100,MAX(0,100-'02_Market_Inputs'!S12)))</f>
        <v/>
      </c>
      <c r="P12" s="10">
        <f>IF(ISBLANK('02_Market_Inputs'!T12),50,MIN(100,MAX(0,50+'02_Market_Inputs'!T12*25)))</f>
        <v/>
      </c>
      <c r="Q12" s="10">
        <f>'06_MLR_Regression'!H12</f>
        <v/>
      </c>
      <c r="R12" s="10">
        <f>'07_VAR_Granger'!K12</f>
        <v/>
      </c>
      <c r="S12" s="10">
        <f>'08_ML_Validation'!K12</f>
        <v/>
      </c>
      <c r="T12" s="10">
        <f>'08_ML_Validation'!L12</f>
        <v/>
      </c>
      <c r="U12" s="10">
        <f>IF('02_Market_Inputs'!W12="completed",85,IF('02_Market_Inputs'!W12="confirmed",75,IF('02_Market_Inputs'!W12="pending",55,50)))+IF('02_Market_Inputs'!X12&lt;=1,20,IF('02_Market_Inputs'!X12&lt;=2,12,IF('02_Market_Inputs'!X12&lt;=3,6,0)))</f>
        <v/>
      </c>
      <c r="V12" s="10">
        <f>IF(ISBLANK('02_Market_Inputs'!V12),50,MIN(100,MAX(0,50+'02_Market_Inputs'!V12*100)))</f>
        <v/>
      </c>
      <c r="W12" s="10">
        <f>IF(ISBLANK('02_Market_Inputs'!Y12),50,MIN(100,MAX(0,50+'02_Market_Inputs'!Y12*15)))</f>
        <v/>
      </c>
    </row>
    <row r="13">
      <c r="A13" s="28">
        <f>'02_Market_Inputs'!A13</f>
        <v/>
      </c>
      <c r="B13" s="28">
        <f>'02_Market_Inputs'!B13</f>
        <v/>
      </c>
      <c r="C13" s="10">
        <f>IF(ISBLANK('02_Market_Inputs'!E13),50,MIN(100,MAX(0,100-('02_Market_Inputs'!E13-1)*14)))</f>
        <v/>
      </c>
      <c r="D13" s="10">
        <f>IF(ISBLANK('02_Market_Inputs'!F13),50,MIN(100,MAX(0,50-'02_Market_Inputs'!F13*100)))</f>
        <v/>
      </c>
      <c r="E13" s="10">
        <f>IF(ISBLANK('02_Market_Inputs'!I13),50,MIN(100,MAX(0,50-'02_Market_Inputs'!I13*15)))</f>
        <v/>
      </c>
      <c r="F13" s="10">
        <f>IF(ISBLANK('02_Market_Inputs'!J13),50,MIN(100,MAX(0,80-ABS('02_Market_Inputs'!J13-12)*4)))</f>
        <v/>
      </c>
      <c r="G13" s="10">
        <f>IF(OR(ISBLANK('02_Market_Inputs'!G13),ISBLANK('02_Market_Inputs'!H13)),50,(MIN(100,MAX(0,100-('02_Market_Inputs'!G13-2.5)*28.5))+MIN(100,MAX(0,('02_Market_Inputs'!H13+0.2)*58)))/2)</f>
        <v/>
      </c>
      <c r="H13" s="10">
        <f>IF(ISBLANK('02_Market_Inputs'!K13),50,MIN(100,MAX(0,50-'02_Market_Inputs'!K13*20)))</f>
        <v/>
      </c>
      <c r="I13" s="10">
        <f>IF(ISBLANK('02_Market_Inputs'!L13),50,MIN(100,MAX(0,100-'02_Market_Inputs'!L13*20)))</f>
        <v/>
      </c>
      <c r="J13" s="10">
        <f>IF(ISBLANK('02_Market_Inputs'!M13),50,MIN(100,MAX(0,50+'02_Market_Inputs'!M13*15)))</f>
        <v/>
      </c>
      <c r="K13" s="10">
        <f>IF(ISBLANK('02_Market_Inputs'!O13),50,MIN(100,MAX(0,50+'02_Market_Inputs'!O13*15)))</f>
        <v/>
      </c>
      <c r="L13" s="10">
        <f>IF(OR(ISBLANK('02_Market_Inputs'!P13),'02_Market_Inputs'!P13&lt;=0),50,MIN(100,MAX(0,100-'02_Market_Inputs'!P13)))</f>
        <v/>
      </c>
      <c r="M13" s="10">
        <f>IF(ISBLANK('02_Market_Inputs'!Q13),50,MIN(100,MAX(0,50-'02_Market_Inputs'!Q13*25)))</f>
        <v/>
      </c>
      <c r="N13" s="10">
        <f>IF(ISBLANK('02_Market_Inputs'!R13),50,MIN(100,MAX(0,50-'02_Market_Inputs'!R13*25)))</f>
        <v/>
      </c>
      <c r="O13" s="10">
        <f>IF(ISBLANK('02_Market_Inputs'!S13),50,MIN(100,MAX(0,100-'02_Market_Inputs'!S13)))</f>
        <v/>
      </c>
      <c r="P13" s="10">
        <f>IF(ISBLANK('02_Market_Inputs'!T13),50,MIN(100,MAX(0,50+'02_Market_Inputs'!T13*25)))</f>
        <v/>
      </c>
      <c r="Q13" s="10">
        <f>'06_MLR_Regression'!H13</f>
        <v/>
      </c>
      <c r="R13" s="10">
        <f>'07_VAR_Granger'!K13</f>
        <v/>
      </c>
      <c r="S13" s="10">
        <f>'08_ML_Validation'!K13</f>
        <v/>
      </c>
      <c r="T13" s="10">
        <f>'08_ML_Validation'!L13</f>
        <v/>
      </c>
      <c r="U13" s="10">
        <f>IF('02_Market_Inputs'!W13="completed",85,IF('02_Market_Inputs'!W13="confirmed",75,IF('02_Market_Inputs'!W13="pending",55,50)))+IF('02_Market_Inputs'!X13&lt;=1,20,IF('02_Market_Inputs'!X13&lt;=2,12,IF('02_Market_Inputs'!X13&lt;=3,6,0)))</f>
        <v/>
      </c>
      <c r="V13" s="10">
        <f>IF(ISBLANK('02_Market_Inputs'!V13),50,MIN(100,MAX(0,50+'02_Market_Inputs'!V13*100)))</f>
        <v/>
      </c>
      <c r="W13" s="10">
        <f>IF(ISBLANK('02_Market_Inputs'!Y13),50,MIN(100,MAX(0,50+'02_Market_Inputs'!Y13*15)))</f>
        <v/>
      </c>
    </row>
    <row r="14">
      <c r="A14" s="28">
        <f>'02_Market_Inputs'!A14</f>
        <v/>
      </c>
      <c r="B14" s="28">
        <f>'02_Market_Inputs'!B14</f>
        <v/>
      </c>
      <c r="C14" s="10">
        <f>IF(ISBLANK('02_Market_Inputs'!E14),50,MIN(100,MAX(0,100-('02_Market_Inputs'!E14-1)*14)))</f>
        <v/>
      </c>
      <c r="D14" s="10">
        <f>IF(ISBLANK('02_Market_Inputs'!F14),50,MIN(100,MAX(0,50-'02_Market_Inputs'!F14*100)))</f>
        <v/>
      </c>
      <c r="E14" s="10">
        <f>IF(ISBLANK('02_Market_Inputs'!I14),50,MIN(100,MAX(0,50-'02_Market_Inputs'!I14*15)))</f>
        <v/>
      </c>
      <c r="F14" s="10">
        <f>IF(ISBLANK('02_Market_Inputs'!J14),50,MIN(100,MAX(0,80-ABS('02_Market_Inputs'!J14-12)*4)))</f>
        <v/>
      </c>
      <c r="G14" s="10">
        <f>IF(OR(ISBLANK('02_Market_Inputs'!G14),ISBLANK('02_Market_Inputs'!H14)),50,(MIN(100,MAX(0,100-('02_Market_Inputs'!G14-2.5)*28.5))+MIN(100,MAX(0,('02_Market_Inputs'!H14+0.2)*58)))/2)</f>
        <v/>
      </c>
      <c r="H14" s="10">
        <f>IF(ISBLANK('02_Market_Inputs'!K14),50,MIN(100,MAX(0,50-'02_Market_Inputs'!K14*20)))</f>
        <v/>
      </c>
      <c r="I14" s="10">
        <f>IF(ISBLANK('02_Market_Inputs'!L14),50,MIN(100,MAX(0,100-'02_Market_Inputs'!L14*20)))</f>
        <v/>
      </c>
      <c r="J14" s="10">
        <f>IF(ISBLANK('02_Market_Inputs'!M14),50,MIN(100,MAX(0,50+'02_Market_Inputs'!M14*15)))</f>
        <v/>
      </c>
      <c r="K14" s="10">
        <f>IF(ISBLANK('02_Market_Inputs'!O14),50,MIN(100,MAX(0,50+'02_Market_Inputs'!O14*15)))</f>
        <v/>
      </c>
      <c r="L14" s="10">
        <f>IF(OR(ISBLANK('02_Market_Inputs'!P14),'02_Market_Inputs'!P14&lt;=0),50,MIN(100,MAX(0,100-'02_Market_Inputs'!P14)))</f>
        <v/>
      </c>
      <c r="M14" s="10">
        <f>IF(ISBLANK('02_Market_Inputs'!Q14),50,MIN(100,MAX(0,50-'02_Market_Inputs'!Q14*25)))</f>
        <v/>
      </c>
      <c r="N14" s="10">
        <f>IF(ISBLANK('02_Market_Inputs'!R14),50,MIN(100,MAX(0,50-'02_Market_Inputs'!R14*25)))</f>
        <v/>
      </c>
      <c r="O14" s="10">
        <f>IF(ISBLANK('02_Market_Inputs'!S14),50,MIN(100,MAX(0,100-'02_Market_Inputs'!S14)))</f>
        <v/>
      </c>
      <c r="P14" s="10">
        <f>IF(ISBLANK('02_Market_Inputs'!T14),50,MIN(100,MAX(0,50+'02_Market_Inputs'!T14*25)))</f>
        <v/>
      </c>
      <c r="Q14" s="10">
        <f>'06_MLR_Regression'!H14</f>
        <v/>
      </c>
      <c r="R14" s="10">
        <f>'07_VAR_Granger'!K14</f>
        <v/>
      </c>
      <c r="S14" s="10">
        <f>'08_ML_Validation'!K14</f>
        <v/>
      </c>
      <c r="T14" s="10">
        <f>'08_ML_Validation'!L14</f>
        <v/>
      </c>
      <c r="U14" s="10">
        <f>IF('02_Market_Inputs'!W14="completed",85,IF('02_Market_Inputs'!W14="confirmed",75,IF('02_Market_Inputs'!W14="pending",55,50)))+IF('02_Market_Inputs'!X14&lt;=1,20,IF('02_Market_Inputs'!X14&lt;=2,12,IF('02_Market_Inputs'!X14&lt;=3,6,0)))</f>
        <v/>
      </c>
      <c r="V14" s="10">
        <f>IF(ISBLANK('02_Market_Inputs'!V14),50,MIN(100,MAX(0,50+'02_Market_Inputs'!V14*100)))</f>
        <v/>
      </c>
      <c r="W14" s="10">
        <f>IF(ISBLANK('02_Market_Inputs'!Y14),50,MIN(100,MAX(0,50+'02_Market_Inputs'!Y14*15)))</f>
        <v/>
      </c>
    </row>
    <row r="15">
      <c r="A15" s="28">
        <f>'02_Market_Inputs'!A15</f>
        <v/>
      </c>
      <c r="B15" s="28">
        <f>'02_Market_Inputs'!B15</f>
        <v/>
      </c>
      <c r="C15" s="10">
        <f>IF(ISBLANK('02_Market_Inputs'!E15),50,MIN(100,MAX(0,100-('02_Market_Inputs'!E15-1)*14)))</f>
        <v/>
      </c>
      <c r="D15" s="10">
        <f>IF(ISBLANK('02_Market_Inputs'!F15),50,MIN(100,MAX(0,50-'02_Market_Inputs'!F15*100)))</f>
        <v/>
      </c>
      <c r="E15" s="10">
        <f>IF(ISBLANK('02_Market_Inputs'!I15),50,MIN(100,MAX(0,50-'02_Market_Inputs'!I15*15)))</f>
        <v/>
      </c>
      <c r="F15" s="10">
        <f>IF(ISBLANK('02_Market_Inputs'!J15),50,MIN(100,MAX(0,80-ABS('02_Market_Inputs'!J15-12)*4)))</f>
        <v/>
      </c>
      <c r="G15" s="10">
        <f>IF(OR(ISBLANK('02_Market_Inputs'!G15),ISBLANK('02_Market_Inputs'!H15)),50,(MIN(100,MAX(0,100-('02_Market_Inputs'!G15-2.5)*28.5))+MIN(100,MAX(0,('02_Market_Inputs'!H15+0.2)*58)))/2)</f>
        <v/>
      </c>
      <c r="H15" s="10">
        <f>IF(ISBLANK('02_Market_Inputs'!K15),50,MIN(100,MAX(0,50-'02_Market_Inputs'!K15*20)))</f>
        <v/>
      </c>
      <c r="I15" s="10">
        <f>IF(ISBLANK('02_Market_Inputs'!L15),50,MIN(100,MAX(0,100-'02_Market_Inputs'!L15*20)))</f>
        <v/>
      </c>
      <c r="J15" s="10">
        <f>IF(ISBLANK('02_Market_Inputs'!M15),50,MIN(100,MAX(0,50+'02_Market_Inputs'!M15*15)))</f>
        <v/>
      </c>
      <c r="K15" s="10">
        <f>IF(ISBLANK('02_Market_Inputs'!O15),50,MIN(100,MAX(0,50+'02_Market_Inputs'!O15*15)))</f>
        <v/>
      </c>
      <c r="L15" s="10">
        <f>IF(OR(ISBLANK('02_Market_Inputs'!P15),'02_Market_Inputs'!P15&lt;=0),50,MIN(100,MAX(0,100-'02_Market_Inputs'!P15)))</f>
        <v/>
      </c>
      <c r="M15" s="10">
        <f>IF(ISBLANK('02_Market_Inputs'!Q15),50,MIN(100,MAX(0,50-'02_Market_Inputs'!Q15*25)))</f>
        <v/>
      </c>
      <c r="N15" s="10">
        <f>IF(ISBLANK('02_Market_Inputs'!R15),50,MIN(100,MAX(0,50-'02_Market_Inputs'!R15*25)))</f>
        <v/>
      </c>
      <c r="O15" s="10">
        <f>IF(ISBLANK('02_Market_Inputs'!S15),50,MIN(100,MAX(0,100-'02_Market_Inputs'!S15)))</f>
        <v/>
      </c>
      <c r="P15" s="10">
        <f>IF(ISBLANK('02_Market_Inputs'!T15),50,MIN(100,MAX(0,50+'02_Market_Inputs'!T15*25)))</f>
        <v/>
      </c>
      <c r="Q15" s="10">
        <f>'06_MLR_Regression'!H15</f>
        <v/>
      </c>
      <c r="R15" s="10">
        <f>'07_VAR_Granger'!K15</f>
        <v/>
      </c>
      <c r="S15" s="10">
        <f>'08_ML_Validation'!K15</f>
        <v/>
      </c>
      <c r="T15" s="10">
        <f>'08_ML_Validation'!L15</f>
        <v/>
      </c>
      <c r="U15" s="10">
        <f>IF('02_Market_Inputs'!W15="completed",85,IF('02_Market_Inputs'!W15="confirmed",75,IF('02_Market_Inputs'!W15="pending",55,50)))+IF('02_Market_Inputs'!X15&lt;=1,20,IF('02_Market_Inputs'!X15&lt;=2,12,IF('02_Market_Inputs'!X15&lt;=3,6,0)))</f>
        <v/>
      </c>
      <c r="V15" s="10">
        <f>IF(ISBLANK('02_Market_Inputs'!V15),50,MIN(100,MAX(0,50+'02_Market_Inputs'!V15*100)))</f>
        <v/>
      </c>
      <c r="W15" s="10">
        <f>IF(ISBLANK('02_Market_Inputs'!Y15),50,MIN(100,MAX(0,50+'02_Market_Inputs'!Y15*15)))</f>
        <v/>
      </c>
    </row>
    <row r="16">
      <c r="A16" s="28">
        <f>'02_Market_Inputs'!A16</f>
        <v/>
      </c>
      <c r="B16" s="28">
        <f>'02_Market_Inputs'!B16</f>
        <v/>
      </c>
      <c r="C16" s="10">
        <f>IF(ISBLANK('02_Market_Inputs'!E16),50,MIN(100,MAX(0,100-('02_Market_Inputs'!E16-1)*14)))</f>
        <v/>
      </c>
      <c r="D16" s="10">
        <f>IF(ISBLANK('02_Market_Inputs'!F16),50,MIN(100,MAX(0,50-'02_Market_Inputs'!F16*100)))</f>
        <v/>
      </c>
      <c r="E16" s="10">
        <f>IF(ISBLANK('02_Market_Inputs'!I16),50,MIN(100,MAX(0,50-'02_Market_Inputs'!I16*15)))</f>
        <v/>
      </c>
      <c r="F16" s="10">
        <f>IF(ISBLANK('02_Market_Inputs'!J16),50,MIN(100,MAX(0,80-ABS('02_Market_Inputs'!J16-12)*4)))</f>
        <v/>
      </c>
      <c r="G16" s="10">
        <f>IF(OR(ISBLANK('02_Market_Inputs'!G16),ISBLANK('02_Market_Inputs'!H16)),50,(MIN(100,MAX(0,100-('02_Market_Inputs'!G16-2.5)*28.5))+MIN(100,MAX(0,('02_Market_Inputs'!H16+0.2)*58)))/2)</f>
        <v/>
      </c>
      <c r="H16" s="10">
        <f>IF(ISBLANK('02_Market_Inputs'!K16),50,MIN(100,MAX(0,50-'02_Market_Inputs'!K16*20)))</f>
        <v/>
      </c>
      <c r="I16" s="10">
        <f>IF(ISBLANK('02_Market_Inputs'!L16),50,MIN(100,MAX(0,100-'02_Market_Inputs'!L16*20)))</f>
        <v/>
      </c>
      <c r="J16" s="10">
        <f>IF(ISBLANK('02_Market_Inputs'!M16),50,MIN(100,MAX(0,50+'02_Market_Inputs'!M16*15)))</f>
        <v/>
      </c>
      <c r="K16" s="10">
        <f>IF(ISBLANK('02_Market_Inputs'!O16),50,MIN(100,MAX(0,50+'02_Market_Inputs'!O16*15)))</f>
        <v/>
      </c>
      <c r="L16" s="10">
        <f>IF(OR(ISBLANK('02_Market_Inputs'!P16),'02_Market_Inputs'!P16&lt;=0),50,MIN(100,MAX(0,100-'02_Market_Inputs'!P16)))</f>
        <v/>
      </c>
      <c r="M16" s="10">
        <f>IF(ISBLANK('02_Market_Inputs'!Q16),50,MIN(100,MAX(0,50-'02_Market_Inputs'!Q16*25)))</f>
        <v/>
      </c>
      <c r="N16" s="10">
        <f>IF(ISBLANK('02_Market_Inputs'!R16),50,MIN(100,MAX(0,50-'02_Market_Inputs'!R16*25)))</f>
        <v/>
      </c>
      <c r="O16" s="10">
        <f>IF(ISBLANK('02_Market_Inputs'!S16),50,MIN(100,MAX(0,100-'02_Market_Inputs'!S16)))</f>
        <v/>
      </c>
      <c r="P16" s="10">
        <f>IF(ISBLANK('02_Market_Inputs'!T16),50,MIN(100,MAX(0,50+'02_Market_Inputs'!T16*25)))</f>
        <v/>
      </c>
      <c r="Q16" s="10">
        <f>'06_MLR_Regression'!H16</f>
        <v/>
      </c>
      <c r="R16" s="10">
        <f>'07_VAR_Granger'!K16</f>
        <v/>
      </c>
      <c r="S16" s="10">
        <f>'08_ML_Validation'!K16</f>
        <v/>
      </c>
      <c r="T16" s="10">
        <f>'08_ML_Validation'!L16</f>
        <v/>
      </c>
      <c r="U16" s="10">
        <f>IF('02_Market_Inputs'!W16="completed",85,IF('02_Market_Inputs'!W16="confirmed",75,IF('02_Market_Inputs'!W16="pending",55,50)))+IF('02_Market_Inputs'!X16&lt;=1,20,IF('02_Market_Inputs'!X16&lt;=2,12,IF('02_Market_Inputs'!X16&lt;=3,6,0)))</f>
        <v/>
      </c>
      <c r="V16" s="10">
        <f>IF(ISBLANK('02_Market_Inputs'!V16),50,MIN(100,MAX(0,50+'02_Market_Inputs'!V16*100)))</f>
        <v/>
      </c>
      <c r="W16" s="10">
        <f>IF(ISBLANK('02_Market_Inputs'!Y16),50,MIN(100,MAX(0,50+'02_Market_Inputs'!Y16*15)))</f>
        <v/>
      </c>
    </row>
    <row r="17">
      <c r="A17" s="28">
        <f>'02_Market_Inputs'!A17</f>
        <v/>
      </c>
      <c r="B17" s="28">
        <f>'02_Market_Inputs'!B17</f>
        <v/>
      </c>
      <c r="C17" s="10">
        <f>IF(ISBLANK('02_Market_Inputs'!E17),50,MIN(100,MAX(0,100-('02_Market_Inputs'!E17-1)*14)))</f>
        <v/>
      </c>
      <c r="D17" s="10">
        <f>IF(ISBLANK('02_Market_Inputs'!F17),50,MIN(100,MAX(0,50-'02_Market_Inputs'!F17*100)))</f>
        <v/>
      </c>
      <c r="E17" s="10">
        <f>IF(ISBLANK('02_Market_Inputs'!I17),50,MIN(100,MAX(0,50-'02_Market_Inputs'!I17*15)))</f>
        <v/>
      </c>
      <c r="F17" s="10">
        <f>IF(ISBLANK('02_Market_Inputs'!J17),50,MIN(100,MAX(0,80-ABS('02_Market_Inputs'!J17-12)*4)))</f>
        <v/>
      </c>
      <c r="G17" s="10">
        <f>IF(OR(ISBLANK('02_Market_Inputs'!G17),ISBLANK('02_Market_Inputs'!H17)),50,(MIN(100,MAX(0,100-('02_Market_Inputs'!G17-2.5)*28.5))+MIN(100,MAX(0,('02_Market_Inputs'!H17+0.2)*58)))/2)</f>
        <v/>
      </c>
      <c r="H17" s="10">
        <f>IF(ISBLANK('02_Market_Inputs'!K17),50,MIN(100,MAX(0,50-'02_Market_Inputs'!K17*20)))</f>
        <v/>
      </c>
      <c r="I17" s="10">
        <f>IF(ISBLANK('02_Market_Inputs'!L17),50,MIN(100,MAX(0,100-'02_Market_Inputs'!L17*20)))</f>
        <v/>
      </c>
      <c r="J17" s="10">
        <f>IF(ISBLANK('02_Market_Inputs'!M17),50,MIN(100,MAX(0,50+'02_Market_Inputs'!M17*15)))</f>
        <v/>
      </c>
      <c r="K17" s="10">
        <f>IF(ISBLANK('02_Market_Inputs'!O17),50,MIN(100,MAX(0,50+'02_Market_Inputs'!O17*15)))</f>
        <v/>
      </c>
      <c r="L17" s="10">
        <f>IF(OR(ISBLANK('02_Market_Inputs'!P17),'02_Market_Inputs'!P17&lt;=0),50,MIN(100,MAX(0,100-'02_Market_Inputs'!P17)))</f>
        <v/>
      </c>
      <c r="M17" s="10">
        <f>IF(ISBLANK('02_Market_Inputs'!Q17),50,MIN(100,MAX(0,50-'02_Market_Inputs'!Q17*25)))</f>
        <v/>
      </c>
      <c r="N17" s="10">
        <f>IF(ISBLANK('02_Market_Inputs'!R17),50,MIN(100,MAX(0,50-'02_Market_Inputs'!R17*25)))</f>
        <v/>
      </c>
      <c r="O17" s="10">
        <f>IF(ISBLANK('02_Market_Inputs'!S17),50,MIN(100,MAX(0,100-'02_Market_Inputs'!S17)))</f>
        <v/>
      </c>
      <c r="P17" s="10">
        <f>IF(ISBLANK('02_Market_Inputs'!T17),50,MIN(100,MAX(0,50+'02_Market_Inputs'!T17*25)))</f>
        <v/>
      </c>
      <c r="Q17" s="10">
        <f>'06_MLR_Regression'!H17</f>
        <v/>
      </c>
      <c r="R17" s="10">
        <f>'07_VAR_Granger'!K17</f>
        <v/>
      </c>
      <c r="S17" s="10">
        <f>'08_ML_Validation'!K17</f>
        <v/>
      </c>
      <c r="T17" s="10">
        <f>'08_ML_Validation'!L17</f>
        <v/>
      </c>
      <c r="U17" s="10">
        <f>IF('02_Market_Inputs'!W17="completed",85,IF('02_Market_Inputs'!W17="confirmed",75,IF('02_Market_Inputs'!W17="pending",55,50)))+IF('02_Market_Inputs'!X17&lt;=1,20,IF('02_Market_Inputs'!X17&lt;=2,12,IF('02_Market_Inputs'!X17&lt;=3,6,0)))</f>
        <v/>
      </c>
      <c r="V17" s="10">
        <f>IF(ISBLANK('02_Market_Inputs'!V17),50,MIN(100,MAX(0,50+'02_Market_Inputs'!V17*100)))</f>
        <v/>
      </c>
      <c r="W17" s="10">
        <f>IF(ISBLANK('02_Market_Inputs'!Y17),50,MIN(100,MAX(0,50+'02_Market_Inputs'!Y17*15)))</f>
        <v/>
      </c>
    </row>
    <row r="18">
      <c r="A18" s="28">
        <f>'02_Market_Inputs'!A18</f>
        <v/>
      </c>
      <c r="B18" s="28">
        <f>'02_Market_Inputs'!B18</f>
        <v/>
      </c>
      <c r="C18" s="10">
        <f>IF(ISBLANK('02_Market_Inputs'!E18),50,MIN(100,MAX(0,100-('02_Market_Inputs'!E18-1)*14)))</f>
        <v/>
      </c>
      <c r="D18" s="10">
        <f>IF(ISBLANK('02_Market_Inputs'!F18),50,MIN(100,MAX(0,50-'02_Market_Inputs'!F18*100)))</f>
        <v/>
      </c>
      <c r="E18" s="10">
        <f>IF(ISBLANK('02_Market_Inputs'!I18),50,MIN(100,MAX(0,50-'02_Market_Inputs'!I18*15)))</f>
        <v/>
      </c>
      <c r="F18" s="10">
        <f>IF(ISBLANK('02_Market_Inputs'!J18),50,MIN(100,MAX(0,80-ABS('02_Market_Inputs'!J18-12)*4)))</f>
        <v/>
      </c>
      <c r="G18" s="10">
        <f>IF(OR(ISBLANK('02_Market_Inputs'!G18),ISBLANK('02_Market_Inputs'!H18)),50,(MIN(100,MAX(0,100-('02_Market_Inputs'!G18-2.5)*28.5))+MIN(100,MAX(0,('02_Market_Inputs'!H18+0.2)*58)))/2)</f>
        <v/>
      </c>
      <c r="H18" s="10">
        <f>IF(ISBLANK('02_Market_Inputs'!K18),50,MIN(100,MAX(0,50-'02_Market_Inputs'!K18*20)))</f>
        <v/>
      </c>
      <c r="I18" s="10">
        <f>IF(ISBLANK('02_Market_Inputs'!L18),50,MIN(100,MAX(0,100-'02_Market_Inputs'!L18*20)))</f>
        <v/>
      </c>
      <c r="J18" s="10">
        <f>IF(ISBLANK('02_Market_Inputs'!M18),50,MIN(100,MAX(0,50+'02_Market_Inputs'!M18*15)))</f>
        <v/>
      </c>
      <c r="K18" s="10">
        <f>IF(ISBLANK('02_Market_Inputs'!O18),50,MIN(100,MAX(0,50+'02_Market_Inputs'!O18*15)))</f>
        <v/>
      </c>
      <c r="L18" s="10">
        <f>IF(OR(ISBLANK('02_Market_Inputs'!P18),'02_Market_Inputs'!P18&lt;=0),50,MIN(100,MAX(0,100-'02_Market_Inputs'!P18)))</f>
        <v/>
      </c>
      <c r="M18" s="10">
        <f>IF(ISBLANK('02_Market_Inputs'!Q18),50,MIN(100,MAX(0,50-'02_Market_Inputs'!Q18*25)))</f>
        <v/>
      </c>
      <c r="N18" s="10">
        <f>IF(ISBLANK('02_Market_Inputs'!R18),50,MIN(100,MAX(0,50-'02_Market_Inputs'!R18*25)))</f>
        <v/>
      </c>
      <c r="O18" s="10">
        <f>IF(ISBLANK('02_Market_Inputs'!S18),50,MIN(100,MAX(0,100-'02_Market_Inputs'!S18)))</f>
        <v/>
      </c>
      <c r="P18" s="10">
        <f>IF(ISBLANK('02_Market_Inputs'!T18),50,MIN(100,MAX(0,50+'02_Market_Inputs'!T18*25)))</f>
        <v/>
      </c>
      <c r="Q18" s="10">
        <f>'06_MLR_Regression'!H18</f>
        <v/>
      </c>
      <c r="R18" s="10">
        <f>'07_VAR_Granger'!K18</f>
        <v/>
      </c>
      <c r="S18" s="10">
        <f>'08_ML_Validation'!K18</f>
        <v/>
      </c>
      <c r="T18" s="10">
        <f>'08_ML_Validation'!L18</f>
        <v/>
      </c>
      <c r="U18" s="10">
        <f>IF('02_Market_Inputs'!W18="completed",85,IF('02_Market_Inputs'!W18="confirmed",75,IF('02_Market_Inputs'!W18="pending",55,50)))+IF('02_Market_Inputs'!X18&lt;=1,20,IF('02_Market_Inputs'!X18&lt;=2,12,IF('02_Market_Inputs'!X18&lt;=3,6,0)))</f>
        <v/>
      </c>
      <c r="V18" s="10">
        <f>IF(ISBLANK('02_Market_Inputs'!V18),50,MIN(100,MAX(0,50+'02_Market_Inputs'!V18*100)))</f>
        <v/>
      </c>
      <c r="W18" s="10">
        <f>IF(ISBLANK('02_Market_Inputs'!Y18),50,MIN(100,MAX(0,50+'02_Market_Inputs'!Y18*15)))</f>
        <v/>
      </c>
    </row>
    <row r="19">
      <c r="A19" s="28">
        <f>'02_Market_Inputs'!A19</f>
        <v/>
      </c>
      <c r="B19" s="28">
        <f>'02_Market_Inputs'!B19</f>
        <v/>
      </c>
      <c r="C19" s="10">
        <f>IF(ISBLANK('02_Market_Inputs'!E19),50,MIN(100,MAX(0,100-('02_Market_Inputs'!E19-1)*14)))</f>
        <v/>
      </c>
      <c r="D19" s="10">
        <f>IF(ISBLANK('02_Market_Inputs'!F19),50,MIN(100,MAX(0,50-'02_Market_Inputs'!F19*100)))</f>
        <v/>
      </c>
      <c r="E19" s="10">
        <f>IF(ISBLANK('02_Market_Inputs'!I19),50,MIN(100,MAX(0,50-'02_Market_Inputs'!I19*15)))</f>
        <v/>
      </c>
      <c r="F19" s="10">
        <f>IF(ISBLANK('02_Market_Inputs'!J19),50,MIN(100,MAX(0,80-ABS('02_Market_Inputs'!J19-12)*4)))</f>
        <v/>
      </c>
      <c r="G19" s="10">
        <f>IF(OR(ISBLANK('02_Market_Inputs'!G19),ISBLANK('02_Market_Inputs'!H19)),50,(MIN(100,MAX(0,100-('02_Market_Inputs'!G19-2.5)*28.5))+MIN(100,MAX(0,('02_Market_Inputs'!H19+0.2)*58)))/2)</f>
        <v/>
      </c>
      <c r="H19" s="10">
        <f>IF(ISBLANK('02_Market_Inputs'!K19),50,MIN(100,MAX(0,50-'02_Market_Inputs'!K19*20)))</f>
        <v/>
      </c>
      <c r="I19" s="10">
        <f>IF(ISBLANK('02_Market_Inputs'!L19),50,MIN(100,MAX(0,100-'02_Market_Inputs'!L19*20)))</f>
        <v/>
      </c>
      <c r="J19" s="10">
        <f>IF(ISBLANK('02_Market_Inputs'!M19),50,MIN(100,MAX(0,50+'02_Market_Inputs'!M19*15)))</f>
        <v/>
      </c>
      <c r="K19" s="10">
        <f>IF(ISBLANK('02_Market_Inputs'!O19),50,MIN(100,MAX(0,50+'02_Market_Inputs'!O19*15)))</f>
        <v/>
      </c>
      <c r="L19" s="10">
        <f>IF(OR(ISBLANK('02_Market_Inputs'!P19),'02_Market_Inputs'!P19&lt;=0),50,MIN(100,MAX(0,100-'02_Market_Inputs'!P19)))</f>
        <v/>
      </c>
      <c r="M19" s="10">
        <f>IF(ISBLANK('02_Market_Inputs'!Q19),50,MIN(100,MAX(0,50-'02_Market_Inputs'!Q19*25)))</f>
        <v/>
      </c>
      <c r="N19" s="10">
        <f>IF(ISBLANK('02_Market_Inputs'!R19),50,MIN(100,MAX(0,50-'02_Market_Inputs'!R19*25)))</f>
        <v/>
      </c>
      <c r="O19" s="10">
        <f>IF(ISBLANK('02_Market_Inputs'!S19),50,MIN(100,MAX(0,100-'02_Market_Inputs'!S19)))</f>
        <v/>
      </c>
      <c r="P19" s="10">
        <f>IF(ISBLANK('02_Market_Inputs'!T19),50,MIN(100,MAX(0,50+'02_Market_Inputs'!T19*25)))</f>
        <v/>
      </c>
      <c r="Q19" s="10">
        <f>'06_MLR_Regression'!H19</f>
        <v/>
      </c>
      <c r="R19" s="10">
        <f>'07_VAR_Granger'!K19</f>
        <v/>
      </c>
      <c r="S19" s="10">
        <f>'08_ML_Validation'!K19</f>
        <v/>
      </c>
      <c r="T19" s="10">
        <f>'08_ML_Validation'!L19</f>
        <v/>
      </c>
      <c r="U19" s="10">
        <f>IF('02_Market_Inputs'!W19="completed",85,IF('02_Market_Inputs'!W19="confirmed",75,IF('02_Market_Inputs'!W19="pending",55,50)))+IF('02_Market_Inputs'!X19&lt;=1,20,IF('02_Market_Inputs'!X19&lt;=2,12,IF('02_Market_Inputs'!X19&lt;=3,6,0)))</f>
        <v/>
      </c>
      <c r="V19" s="10">
        <f>IF(ISBLANK('02_Market_Inputs'!V19),50,MIN(100,MAX(0,50+'02_Market_Inputs'!V19*100)))</f>
        <v/>
      </c>
      <c r="W19" s="10">
        <f>IF(ISBLANK('02_Market_Inputs'!Y19),50,MIN(100,MAX(0,50+'02_Market_Inputs'!Y19*15)))</f>
        <v/>
      </c>
    </row>
    <row r="20">
      <c r="A20" s="28">
        <f>'02_Market_Inputs'!A20</f>
        <v/>
      </c>
      <c r="B20" s="28">
        <f>'02_Market_Inputs'!B20</f>
        <v/>
      </c>
      <c r="C20" s="10">
        <f>IF(ISBLANK('02_Market_Inputs'!E20),50,MIN(100,MAX(0,100-('02_Market_Inputs'!E20-1)*14)))</f>
        <v/>
      </c>
      <c r="D20" s="10">
        <f>IF(ISBLANK('02_Market_Inputs'!F20),50,MIN(100,MAX(0,50-'02_Market_Inputs'!F20*100)))</f>
        <v/>
      </c>
      <c r="E20" s="10">
        <f>IF(ISBLANK('02_Market_Inputs'!I20),50,MIN(100,MAX(0,50-'02_Market_Inputs'!I20*15)))</f>
        <v/>
      </c>
      <c r="F20" s="10">
        <f>IF(ISBLANK('02_Market_Inputs'!J20),50,MIN(100,MAX(0,80-ABS('02_Market_Inputs'!J20-12)*4)))</f>
        <v/>
      </c>
      <c r="G20" s="10">
        <f>IF(OR(ISBLANK('02_Market_Inputs'!G20),ISBLANK('02_Market_Inputs'!H20)),50,(MIN(100,MAX(0,100-('02_Market_Inputs'!G20-2.5)*28.5))+MIN(100,MAX(0,('02_Market_Inputs'!H20+0.2)*58)))/2)</f>
        <v/>
      </c>
      <c r="H20" s="10">
        <f>IF(ISBLANK('02_Market_Inputs'!K20),50,MIN(100,MAX(0,50-'02_Market_Inputs'!K20*20)))</f>
        <v/>
      </c>
      <c r="I20" s="10">
        <f>IF(ISBLANK('02_Market_Inputs'!L20),50,MIN(100,MAX(0,100-'02_Market_Inputs'!L20*20)))</f>
        <v/>
      </c>
      <c r="J20" s="10">
        <f>IF(ISBLANK('02_Market_Inputs'!M20),50,MIN(100,MAX(0,50+'02_Market_Inputs'!M20*15)))</f>
        <v/>
      </c>
      <c r="K20" s="10">
        <f>IF(ISBLANK('02_Market_Inputs'!O20),50,MIN(100,MAX(0,50+'02_Market_Inputs'!O20*15)))</f>
        <v/>
      </c>
      <c r="L20" s="10">
        <f>IF(OR(ISBLANK('02_Market_Inputs'!P20),'02_Market_Inputs'!P20&lt;=0),50,MIN(100,MAX(0,100-'02_Market_Inputs'!P20)))</f>
        <v/>
      </c>
      <c r="M20" s="10">
        <f>IF(ISBLANK('02_Market_Inputs'!Q20),50,MIN(100,MAX(0,50-'02_Market_Inputs'!Q20*25)))</f>
        <v/>
      </c>
      <c r="N20" s="10">
        <f>IF(ISBLANK('02_Market_Inputs'!R20),50,MIN(100,MAX(0,50-'02_Market_Inputs'!R20*25)))</f>
        <v/>
      </c>
      <c r="O20" s="10">
        <f>IF(ISBLANK('02_Market_Inputs'!S20),50,MIN(100,MAX(0,100-'02_Market_Inputs'!S20)))</f>
        <v/>
      </c>
      <c r="P20" s="10">
        <f>IF(ISBLANK('02_Market_Inputs'!T20),50,MIN(100,MAX(0,50+'02_Market_Inputs'!T20*25)))</f>
        <v/>
      </c>
      <c r="Q20" s="10">
        <f>'06_MLR_Regression'!H20</f>
        <v/>
      </c>
      <c r="R20" s="10">
        <f>'07_VAR_Granger'!K20</f>
        <v/>
      </c>
      <c r="S20" s="10">
        <f>'08_ML_Validation'!K20</f>
        <v/>
      </c>
      <c r="T20" s="10">
        <f>'08_ML_Validation'!L20</f>
        <v/>
      </c>
      <c r="U20" s="10">
        <f>IF('02_Market_Inputs'!W20="completed",85,IF('02_Market_Inputs'!W20="confirmed",75,IF('02_Market_Inputs'!W20="pending",55,50)))+IF('02_Market_Inputs'!X20&lt;=1,20,IF('02_Market_Inputs'!X20&lt;=2,12,IF('02_Market_Inputs'!X20&lt;=3,6,0)))</f>
        <v/>
      </c>
      <c r="V20" s="10">
        <f>IF(ISBLANK('02_Market_Inputs'!V20),50,MIN(100,MAX(0,50+'02_Market_Inputs'!V20*100)))</f>
        <v/>
      </c>
      <c r="W20" s="10">
        <f>IF(ISBLANK('02_Market_Inputs'!Y20),50,MIN(100,MAX(0,50+'02_Market_Inputs'!Y20*15)))</f>
        <v/>
      </c>
    </row>
    <row r="21">
      <c r="A21" s="28">
        <f>'02_Market_Inputs'!A21</f>
        <v/>
      </c>
      <c r="B21" s="28">
        <f>'02_Market_Inputs'!B21</f>
        <v/>
      </c>
      <c r="C21" s="10">
        <f>IF(ISBLANK('02_Market_Inputs'!E21),50,MIN(100,MAX(0,100-('02_Market_Inputs'!E21-1)*14)))</f>
        <v/>
      </c>
      <c r="D21" s="10">
        <f>IF(ISBLANK('02_Market_Inputs'!F21),50,MIN(100,MAX(0,50-'02_Market_Inputs'!F21*100)))</f>
        <v/>
      </c>
      <c r="E21" s="10">
        <f>IF(ISBLANK('02_Market_Inputs'!I21),50,MIN(100,MAX(0,50-'02_Market_Inputs'!I21*15)))</f>
        <v/>
      </c>
      <c r="F21" s="10">
        <f>IF(ISBLANK('02_Market_Inputs'!J21),50,MIN(100,MAX(0,80-ABS('02_Market_Inputs'!J21-12)*4)))</f>
        <v/>
      </c>
      <c r="G21" s="10">
        <f>IF(OR(ISBLANK('02_Market_Inputs'!G21),ISBLANK('02_Market_Inputs'!H21)),50,(MIN(100,MAX(0,100-('02_Market_Inputs'!G21-2.5)*28.5))+MIN(100,MAX(0,('02_Market_Inputs'!H21+0.2)*58)))/2)</f>
        <v/>
      </c>
      <c r="H21" s="10">
        <f>IF(ISBLANK('02_Market_Inputs'!K21),50,MIN(100,MAX(0,50-'02_Market_Inputs'!K21*20)))</f>
        <v/>
      </c>
      <c r="I21" s="10">
        <f>IF(ISBLANK('02_Market_Inputs'!L21),50,MIN(100,MAX(0,100-'02_Market_Inputs'!L21*20)))</f>
        <v/>
      </c>
      <c r="J21" s="10">
        <f>IF(ISBLANK('02_Market_Inputs'!M21),50,MIN(100,MAX(0,50+'02_Market_Inputs'!M21*15)))</f>
        <v/>
      </c>
      <c r="K21" s="10">
        <f>IF(ISBLANK('02_Market_Inputs'!O21),50,MIN(100,MAX(0,50+'02_Market_Inputs'!O21*15)))</f>
        <v/>
      </c>
      <c r="L21" s="10">
        <f>IF(OR(ISBLANK('02_Market_Inputs'!P21),'02_Market_Inputs'!P21&lt;=0),50,MIN(100,MAX(0,100-'02_Market_Inputs'!P21)))</f>
        <v/>
      </c>
      <c r="M21" s="10">
        <f>IF(ISBLANK('02_Market_Inputs'!Q21),50,MIN(100,MAX(0,50-'02_Market_Inputs'!Q21*25)))</f>
        <v/>
      </c>
      <c r="N21" s="10">
        <f>IF(ISBLANK('02_Market_Inputs'!R21),50,MIN(100,MAX(0,50-'02_Market_Inputs'!R21*25)))</f>
        <v/>
      </c>
      <c r="O21" s="10">
        <f>IF(ISBLANK('02_Market_Inputs'!S21),50,MIN(100,MAX(0,100-'02_Market_Inputs'!S21)))</f>
        <v/>
      </c>
      <c r="P21" s="10">
        <f>IF(ISBLANK('02_Market_Inputs'!T21),50,MIN(100,MAX(0,50+'02_Market_Inputs'!T21*25)))</f>
        <v/>
      </c>
      <c r="Q21" s="10">
        <f>'06_MLR_Regression'!H21</f>
        <v/>
      </c>
      <c r="R21" s="10">
        <f>'07_VAR_Granger'!K21</f>
        <v/>
      </c>
      <c r="S21" s="10">
        <f>'08_ML_Validation'!K21</f>
        <v/>
      </c>
      <c r="T21" s="10">
        <f>'08_ML_Validation'!L21</f>
        <v/>
      </c>
      <c r="U21" s="10">
        <f>IF('02_Market_Inputs'!W21="completed",85,IF('02_Market_Inputs'!W21="confirmed",75,IF('02_Market_Inputs'!W21="pending",55,50)))+IF('02_Market_Inputs'!X21&lt;=1,20,IF('02_Market_Inputs'!X21&lt;=2,12,IF('02_Market_Inputs'!X21&lt;=3,6,0)))</f>
        <v/>
      </c>
      <c r="V21" s="10">
        <f>IF(ISBLANK('02_Market_Inputs'!V21),50,MIN(100,MAX(0,50+'02_Market_Inputs'!V21*100)))</f>
        <v/>
      </c>
      <c r="W21" s="10">
        <f>IF(ISBLANK('02_Market_Inputs'!Y21),50,MIN(100,MAX(0,50+'02_Market_Inputs'!Y21*15)))</f>
        <v/>
      </c>
    </row>
    <row r="22">
      <c r="A22" s="28">
        <f>'02_Market_Inputs'!A22</f>
        <v/>
      </c>
      <c r="B22" s="28">
        <f>'02_Market_Inputs'!B22</f>
        <v/>
      </c>
      <c r="C22" s="10">
        <f>IF(ISBLANK('02_Market_Inputs'!E22),50,MIN(100,MAX(0,100-('02_Market_Inputs'!E22-1)*14)))</f>
        <v/>
      </c>
      <c r="D22" s="10">
        <f>IF(ISBLANK('02_Market_Inputs'!F22),50,MIN(100,MAX(0,50-'02_Market_Inputs'!F22*100)))</f>
        <v/>
      </c>
      <c r="E22" s="10">
        <f>IF(ISBLANK('02_Market_Inputs'!I22),50,MIN(100,MAX(0,50-'02_Market_Inputs'!I22*15)))</f>
        <v/>
      </c>
      <c r="F22" s="10">
        <f>IF(ISBLANK('02_Market_Inputs'!J22),50,MIN(100,MAX(0,80-ABS('02_Market_Inputs'!J22-12)*4)))</f>
        <v/>
      </c>
      <c r="G22" s="10">
        <f>IF(OR(ISBLANK('02_Market_Inputs'!G22),ISBLANK('02_Market_Inputs'!H22)),50,(MIN(100,MAX(0,100-('02_Market_Inputs'!G22-2.5)*28.5))+MIN(100,MAX(0,('02_Market_Inputs'!H22+0.2)*58)))/2)</f>
        <v/>
      </c>
      <c r="H22" s="10">
        <f>IF(ISBLANK('02_Market_Inputs'!K22),50,MIN(100,MAX(0,50-'02_Market_Inputs'!K22*20)))</f>
        <v/>
      </c>
      <c r="I22" s="10">
        <f>IF(ISBLANK('02_Market_Inputs'!L22),50,MIN(100,MAX(0,100-'02_Market_Inputs'!L22*20)))</f>
        <v/>
      </c>
      <c r="J22" s="10">
        <f>IF(ISBLANK('02_Market_Inputs'!M22),50,MIN(100,MAX(0,50+'02_Market_Inputs'!M22*15)))</f>
        <v/>
      </c>
      <c r="K22" s="10">
        <f>IF(ISBLANK('02_Market_Inputs'!O22),50,MIN(100,MAX(0,50+'02_Market_Inputs'!O22*15)))</f>
        <v/>
      </c>
      <c r="L22" s="10">
        <f>IF(OR(ISBLANK('02_Market_Inputs'!P22),'02_Market_Inputs'!P22&lt;=0),50,MIN(100,MAX(0,100-'02_Market_Inputs'!P22)))</f>
        <v/>
      </c>
      <c r="M22" s="10">
        <f>IF(ISBLANK('02_Market_Inputs'!Q22),50,MIN(100,MAX(0,50-'02_Market_Inputs'!Q22*25)))</f>
        <v/>
      </c>
      <c r="N22" s="10">
        <f>IF(ISBLANK('02_Market_Inputs'!R22),50,MIN(100,MAX(0,50-'02_Market_Inputs'!R22*25)))</f>
        <v/>
      </c>
      <c r="O22" s="10">
        <f>IF(ISBLANK('02_Market_Inputs'!S22),50,MIN(100,MAX(0,100-'02_Market_Inputs'!S22)))</f>
        <v/>
      </c>
      <c r="P22" s="10">
        <f>IF(ISBLANK('02_Market_Inputs'!T22),50,MIN(100,MAX(0,50+'02_Market_Inputs'!T22*25)))</f>
        <v/>
      </c>
      <c r="Q22" s="10">
        <f>'06_MLR_Regression'!H22</f>
        <v/>
      </c>
      <c r="R22" s="10">
        <f>'07_VAR_Granger'!K22</f>
        <v/>
      </c>
      <c r="S22" s="10">
        <f>'08_ML_Validation'!K22</f>
        <v/>
      </c>
      <c r="T22" s="10">
        <f>'08_ML_Validation'!L22</f>
        <v/>
      </c>
      <c r="U22" s="10">
        <f>IF('02_Market_Inputs'!W22="completed",85,IF('02_Market_Inputs'!W22="confirmed",75,IF('02_Market_Inputs'!W22="pending",55,50)))+IF('02_Market_Inputs'!X22&lt;=1,20,IF('02_Market_Inputs'!X22&lt;=2,12,IF('02_Market_Inputs'!X22&lt;=3,6,0)))</f>
        <v/>
      </c>
      <c r="V22" s="10">
        <f>IF(ISBLANK('02_Market_Inputs'!V22),50,MIN(100,MAX(0,50+'02_Market_Inputs'!V22*100)))</f>
        <v/>
      </c>
      <c r="W22" s="10">
        <f>IF(ISBLANK('02_Market_Inputs'!Y22),50,MIN(100,MAX(0,50+'02_Market_Inputs'!Y22*15)))</f>
        <v/>
      </c>
    </row>
    <row r="23">
      <c r="A23" s="28">
        <f>'02_Market_Inputs'!A23</f>
        <v/>
      </c>
      <c r="B23" s="28">
        <f>'02_Market_Inputs'!B23</f>
        <v/>
      </c>
      <c r="C23" s="10">
        <f>IF(ISBLANK('02_Market_Inputs'!E23),50,MIN(100,MAX(0,100-('02_Market_Inputs'!E23-1)*14)))</f>
        <v/>
      </c>
      <c r="D23" s="10">
        <f>IF(ISBLANK('02_Market_Inputs'!F23),50,MIN(100,MAX(0,50-'02_Market_Inputs'!F23*100)))</f>
        <v/>
      </c>
      <c r="E23" s="10">
        <f>IF(ISBLANK('02_Market_Inputs'!I23),50,MIN(100,MAX(0,50-'02_Market_Inputs'!I23*15)))</f>
        <v/>
      </c>
      <c r="F23" s="10">
        <f>IF(ISBLANK('02_Market_Inputs'!J23),50,MIN(100,MAX(0,80-ABS('02_Market_Inputs'!J23-12)*4)))</f>
        <v/>
      </c>
      <c r="G23" s="10">
        <f>IF(OR(ISBLANK('02_Market_Inputs'!G23),ISBLANK('02_Market_Inputs'!H23)),50,(MIN(100,MAX(0,100-('02_Market_Inputs'!G23-2.5)*28.5))+MIN(100,MAX(0,('02_Market_Inputs'!H23+0.2)*58)))/2)</f>
        <v/>
      </c>
      <c r="H23" s="10">
        <f>IF(ISBLANK('02_Market_Inputs'!K23),50,MIN(100,MAX(0,50-'02_Market_Inputs'!K23*20)))</f>
        <v/>
      </c>
      <c r="I23" s="10">
        <f>IF(ISBLANK('02_Market_Inputs'!L23),50,MIN(100,MAX(0,100-'02_Market_Inputs'!L23*20)))</f>
        <v/>
      </c>
      <c r="J23" s="10">
        <f>IF(ISBLANK('02_Market_Inputs'!M23),50,MIN(100,MAX(0,50+'02_Market_Inputs'!M23*15)))</f>
        <v/>
      </c>
      <c r="K23" s="10">
        <f>IF(ISBLANK('02_Market_Inputs'!O23),50,MIN(100,MAX(0,50+'02_Market_Inputs'!O23*15)))</f>
        <v/>
      </c>
      <c r="L23" s="10">
        <f>IF(OR(ISBLANK('02_Market_Inputs'!P23),'02_Market_Inputs'!P23&lt;=0),50,MIN(100,MAX(0,100-'02_Market_Inputs'!P23)))</f>
        <v/>
      </c>
      <c r="M23" s="10">
        <f>IF(ISBLANK('02_Market_Inputs'!Q23),50,MIN(100,MAX(0,50-'02_Market_Inputs'!Q23*25)))</f>
        <v/>
      </c>
      <c r="N23" s="10">
        <f>IF(ISBLANK('02_Market_Inputs'!R23),50,MIN(100,MAX(0,50-'02_Market_Inputs'!R23*25)))</f>
        <v/>
      </c>
      <c r="O23" s="10">
        <f>IF(ISBLANK('02_Market_Inputs'!S23),50,MIN(100,MAX(0,100-'02_Market_Inputs'!S23)))</f>
        <v/>
      </c>
      <c r="P23" s="10">
        <f>IF(ISBLANK('02_Market_Inputs'!T23),50,MIN(100,MAX(0,50+'02_Market_Inputs'!T23*25)))</f>
        <v/>
      </c>
      <c r="Q23" s="10">
        <f>'06_MLR_Regression'!H23</f>
        <v/>
      </c>
      <c r="R23" s="10">
        <f>'07_VAR_Granger'!K23</f>
        <v/>
      </c>
      <c r="S23" s="10">
        <f>'08_ML_Validation'!K23</f>
        <v/>
      </c>
      <c r="T23" s="10">
        <f>'08_ML_Validation'!L23</f>
        <v/>
      </c>
      <c r="U23" s="10">
        <f>IF('02_Market_Inputs'!W23="completed",85,IF('02_Market_Inputs'!W23="confirmed",75,IF('02_Market_Inputs'!W23="pending",55,50)))+IF('02_Market_Inputs'!X23&lt;=1,20,IF('02_Market_Inputs'!X23&lt;=2,12,IF('02_Market_Inputs'!X23&lt;=3,6,0)))</f>
        <v/>
      </c>
      <c r="V23" s="10">
        <f>IF(ISBLANK('02_Market_Inputs'!V23),50,MIN(100,MAX(0,50+'02_Market_Inputs'!V23*100)))</f>
        <v/>
      </c>
      <c r="W23" s="10">
        <f>IF(ISBLANK('02_Market_Inputs'!Y23),50,MIN(100,MAX(0,50+'02_Market_Inputs'!Y23*15)))</f>
        <v/>
      </c>
    </row>
    <row r="24">
      <c r="A24" s="28">
        <f>'02_Market_Inputs'!A24</f>
        <v/>
      </c>
      <c r="B24" s="28">
        <f>'02_Market_Inputs'!B24</f>
        <v/>
      </c>
      <c r="C24" s="10">
        <f>IF(ISBLANK('02_Market_Inputs'!E24),50,MIN(100,MAX(0,100-('02_Market_Inputs'!E24-1)*14)))</f>
        <v/>
      </c>
      <c r="D24" s="10">
        <f>IF(ISBLANK('02_Market_Inputs'!F24),50,MIN(100,MAX(0,50-'02_Market_Inputs'!F24*100)))</f>
        <v/>
      </c>
      <c r="E24" s="10">
        <f>IF(ISBLANK('02_Market_Inputs'!I24),50,MIN(100,MAX(0,50-'02_Market_Inputs'!I24*15)))</f>
        <v/>
      </c>
      <c r="F24" s="10">
        <f>IF(ISBLANK('02_Market_Inputs'!J24),50,MIN(100,MAX(0,80-ABS('02_Market_Inputs'!J24-12)*4)))</f>
        <v/>
      </c>
      <c r="G24" s="10">
        <f>IF(OR(ISBLANK('02_Market_Inputs'!G24),ISBLANK('02_Market_Inputs'!H24)),50,(MIN(100,MAX(0,100-('02_Market_Inputs'!G24-2.5)*28.5))+MIN(100,MAX(0,('02_Market_Inputs'!H24+0.2)*58)))/2)</f>
        <v/>
      </c>
      <c r="H24" s="10">
        <f>IF(ISBLANK('02_Market_Inputs'!K24),50,MIN(100,MAX(0,50-'02_Market_Inputs'!K24*20)))</f>
        <v/>
      </c>
      <c r="I24" s="10">
        <f>IF(ISBLANK('02_Market_Inputs'!L24),50,MIN(100,MAX(0,100-'02_Market_Inputs'!L24*20)))</f>
        <v/>
      </c>
      <c r="J24" s="10">
        <f>IF(ISBLANK('02_Market_Inputs'!M24),50,MIN(100,MAX(0,50+'02_Market_Inputs'!M24*15)))</f>
        <v/>
      </c>
      <c r="K24" s="10">
        <f>IF(ISBLANK('02_Market_Inputs'!O24),50,MIN(100,MAX(0,50+'02_Market_Inputs'!O24*15)))</f>
        <v/>
      </c>
      <c r="L24" s="10">
        <f>IF(OR(ISBLANK('02_Market_Inputs'!P24),'02_Market_Inputs'!P24&lt;=0),50,MIN(100,MAX(0,100-'02_Market_Inputs'!P24)))</f>
        <v/>
      </c>
      <c r="M24" s="10">
        <f>IF(ISBLANK('02_Market_Inputs'!Q24),50,MIN(100,MAX(0,50-'02_Market_Inputs'!Q24*25)))</f>
        <v/>
      </c>
      <c r="N24" s="10">
        <f>IF(ISBLANK('02_Market_Inputs'!R24),50,MIN(100,MAX(0,50-'02_Market_Inputs'!R24*25)))</f>
        <v/>
      </c>
      <c r="O24" s="10">
        <f>IF(ISBLANK('02_Market_Inputs'!S24),50,MIN(100,MAX(0,100-'02_Market_Inputs'!S24)))</f>
        <v/>
      </c>
      <c r="P24" s="10">
        <f>IF(ISBLANK('02_Market_Inputs'!T24),50,MIN(100,MAX(0,50+'02_Market_Inputs'!T24*25)))</f>
        <v/>
      </c>
      <c r="Q24" s="10">
        <f>'06_MLR_Regression'!H24</f>
        <v/>
      </c>
      <c r="R24" s="10">
        <f>'07_VAR_Granger'!K24</f>
        <v/>
      </c>
      <c r="S24" s="10">
        <f>'08_ML_Validation'!K24</f>
        <v/>
      </c>
      <c r="T24" s="10">
        <f>'08_ML_Validation'!L24</f>
        <v/>
      </c>
      <c r="U24" s="10">
        <f>IF('02_Market_Inputs'!W24="completed",85,IF('02_Market_Inputs'!W24="confirmed",75,IF('02_Market_Inputs'!W24="pending",55,50)))+IF('02_Market_Inputs'!X24&lt;=1,20,IF('02_Market_Inputs'!X24&lt;=2,12,IF('02_Market_Inputs'!X24&lt;=3,6,0)))</f>
        <v/>
      </c>
      <c r="V24" s="10">
        <f>IF(ISBLANK('02_Market_Inputs'!V24),50,MIN(100,MAX(0,50+'02_Market_Inputs'!V24*100)))</f>
        <v/>
      </c>
      <c r="W24" s="10">
        <f>IF(ISBLANK('02_Market_Inputs'!Y24),50,MIN(100,MAX(0,50+'02_Market_Inputs'!Y24*15)))</f>
        <v/>
      </c>
    </row>
    <row r="25">
      <c r="A25" s="28">
        <f>'02_Market_Inputs'!A25</f>
        <v/>
      </c>
      <c r="B25" s="28">
        <f>'02_Market_Inputs'!B25</f>
        <v/>
      </c>
      <c r="C25" s="10">
        <f>IF(ISBLANK('02_Market_Inputs'!E25),50,MIN(100,MAX(0,100-('02_Market_Inputs'!E25-1)*14)))</f>
        <v/>
      </c>
      <c r="D25" s="10">
        <f>IF(ISBLANK('02_Market_Inputs'!F25),50,MIN(100,MAX(0,50-'02_Market_Inputs'!F25*100)))</f>
        <v/>
      </c>
      <c r="E25" s="10">
        <f>IF(ISBLANK('02_Market_Inputs'!I25),50,MIN(100,MAX(0,50-'02_Market_Inputs'!I25*15)))</f>
        <v/>
      </c>
      <c r="F25" s="10">
        <f>IF(ISBLANK('02_Market_Inputs'!J25),50,MIN(100,MAX(0,80-ABS('02_Market_Inputs'!J25-12)*4)))</f>
        <v/>
      </c>
      <c r="G25" s="10">
        <f>IF(OR(ISBLANK('02_Market_Inputs'!G25),ISBLANK('02_Market_Inputs'!H25)),50,(MIN(100,MAX(0,100-('02_Market_Inputs'!G25-2.5)*28.5))+MIN(100,MAX(0,('02_Market_Inputs'!H25+0.2)*58)))/2)</f>
        <v/>
      </c>
      <c r="H25" s="10">
        <f>IF(ISBLANK('02_Market_Inputs'!K25),50,MIN(100,MAX(0,50-'02_Market_Inputs'!K25*20)))</f>
        <v/>
      </c>
      <c r="I25" s="10">
        <f>IF(ISBLANK('02_Market_Inputs'!L25),50,MIN(100,MAX(0,100-'02_Market_Inputs'!L25*20)))</f>
        <v/>
      </c>
      <c r="J25" s="10">
        <f>IF(ISBLANK('02_Market_Inputs'!M25),50,MIN(100,MAX(0,50+'02_Market_Inputs'!M25*15)))</f>
        <v/>
      </c>
      <c r="K25" s="10">
        <f>IF(ISBLANK('02_Market_Inputs'!O25),50,MIN(100,MAX(0,50+'02_Market_Inputs'!O25*15)))</f>
        <v/>
      </c>
      <c r="L25" s="10">
        <f>IF(OR(ISBLANK('02_Market_Inputs'!P25),'02_Market_Inputs'!P25&lt;=0),50,MIN(100,MAX(0,100-'02_Market_Inputs'!P25)))</f>
        <v/>
      </c>
      <c r="M25" s="10">
        <f>IF(ISBLANK('02_Market_Inputs'!Q25),50,MIN(100,MAX(0,50-'02_Market_Inputs'!Q25*25)))</f>
        <v/>
      </c>
      <c r="N25" s="10">
        <f>IF(ISBLANK('02_Market_Inputs'!R25),50,MIN(100,MAX(0,50-'02_Market_Inputs'!R25*25)))</f>
        <v/>
      </c>
      <c r="O25" s="10">
        <f>IF(ISBLANK('02_Market_Inputs'!S25),50,MIN(100,MAX(0,100-'02_Market_Inputs'!S25)))</f>
        <v/>
      </c>
      <c r="P25" s="10">
        <f>IF(ISBLANK('02_Market_Inputs'!T25),50,MIN(100,MAX(0,50+'02_Market_Inputs'!T25*25)))</f>
        <v/>
      </c>
      <c r="Q25" s="10">
        <f>'06_MLR_Regression'!H25</f>
        <v/>
      </c>
      <c r="R25" s="10">
        <f>'07_VAR_Granger'!K25</f>
        <v/>
      </c>
      <c r="S25" s="10">
        <f>'08_ML_Validation'!K25</f>
        <v/>
      </c>
      <c r="T25" s="10">
        <f>'08_ML_Validation'!L25</f>
        <v/>
      </c>
      <c r="U25" s="10">
        <f>IF('02_Market_Inputs'!W25="completed",85,IF('02_Market_Inputs'!W25="confirmed",75,IF('02_Market_Inputs'!W25="pending",55,50)))+IF('02_Market_Inputs'!X25&lt;=1,20,IF('02_Market_Inputs'!X25&lt;=2,12,IF('02_Market_Inputs'!X25&lt;=3,6,0)))</f>
        <v/>
      </c>
      <c r="V25" s="10">
        <f>IF(ISBLANK('02_Market_Inputs'!V25),50,MIN(100,MAX(0,50+'02_Market_Inputs'!V25*100)))</f>
        <v/>
      </c>
      <c r="W25" s="10">
        <f>IF(ISBLANK('02_Market_Inputs'!Y25),50,MIN(100,MAX(0,50+'02_Market_Inputs'!Y25*15)))</f>
        <v/>
      </c>
    </row>
    <row r="26">
      <c r="A26" s="28">
        <f>'02_Market_Inputs'!A26</f>
        <v/>
      </c>
      <c r="B26" s="28">
        <f>'02_Market_Inputs'!B26</f>
        <v/>
      </c>
      <c r="C26" s="10">
        <f>IF(ISBLANK('02_Market_Inputs'!E26),50,MIN(100,MAX(0,100-('02_Market_Inputs'!E26-1)*14)))</f>
        <v/>
      </c>
      <c r="D26" s="10">
        <f>IF(ISBLANK('02_Market_Inputs'!F26),50,MIN(100,MAX(0,50-'02_Market_Inputs'!F26*100)))</f>
        <v/>
      </c>
      <c r="E26" s="10">
        <f>IF(ISBLANK('02_Market_Inputs'!I26),50,MIN(100,MAX(0,50-'02_Market_Inputs'!I26*15)))</f>
        <v/>
      </c>
      <c r="F26" s="10">
        <f>IF(ISBLANK('02_Market_Inputs'!J26),50,MIN(100,MAX(0,80-ABS('02_Market_Inputs'!J26-12)*4)))</f>
        <v/>
      </c>
      <c r="G26" s="10">
        <f>IF(OR(ISBLANK('02_Market_Inputs'!G26),ISBLANK('02_Market_Inputs'!H26)),50,(MIN(100,MAX(0,100-('02_Market_Inputs'!G26-2.5)*28.5))+MIN(100,MAX(0,('02_Market_Inputs'!H26+0.2)*58)))/2)</f>
        <v/>
      </c>
      <c r="H26" s="10">
        <f>IF(ISBLANK('02_Market_Inputs'!K26),50,MIN(100,MAX(0,50-'02_Market_Inputs'!K26*20)))</f>
        <v/>
      </c>
      <c r="I26" s="10">
        <f>IF(ISBLANK('02_Market_Inputs'!L26),50,MIN(100,MAX(0,100-'02_Market_Inputs'!L26*20)))</f>
        <v/>
      </c>
      <c r="J26" s="10">
        <f>IF(ISBLANK('02_Market_Inputs'!M26),50,MIN(100,MAX(0,50+'02_Market_Inputs'!M26*15)))</f>
        <v/>
      </c>
      <c r="K26" s="10">
        <f>IF(ISBLANK('02_Market_Inputs'!O26),50,MIN(100,MAX(0,50+'02_Market_Inputs'!O26*15)))</f>
        <v/>
      </c>
      <c r="L26" s="10">
        <f>IF(OR(ISBLANK('02_Market_Inputs'!P26),'02_Market_Inputs'!P26&lt;=0),50,MIN(100,MAX(0,100-'02_Market_Inputs'!P26)))</f>
        <v/>
      </c>
      <c r="M26" s="10">
        <f>IF(ISBLANK('02_Market_Inputs'!Q26),50,MIN(100,MAX(0,50-'02_Market_Inputs'!Q26*25)))</f>
        <v/>
      </c>
      <c r="N26" s="10">
        <f>IF(ISBLANK('02_Market_Inputs'!R26),50,MIN(100,MAX(0,50-'02_Market_Inputs'!R26*25)))</f>
        <v/>
      </c>
      <c r="O26" s="10">
        <f>IF(ISBLANK('02_Market_Inputs'!S26),50,MIN(100,MAX(0,100-'02_Market_Inputs'!S26)))</f>
        <v/>
      </c>
      <c r="P26" s="10">
        <f>IF(ISBLANK('02_Market_Inputs'!T26),50,MIN(100,MAX(0,50+'02_Market_Inputs'!T26*25)))</f>
        <v/>
      </c>
      <c r="Q26" s="10">
        <f>'06_MLR_Regression'!H26</f>
        <v/>
      </c>
      <c r="R26" s="10">
        <f>'07_VAR_Granger'!K26</f>
        <v/>
      </c>
      <c r="S26" s="10">
        <f>'08_ML_Validation'!K26</f>
        <v/>
      </c>
      <c r="T26" s="10">
        <f>'08_ML_Validation'!L26</f>
        <v/>
      </c>
      <c r="U26" s="10">
        <f>IF('02_Market_Inputs'!W26="completed",85,IF('02_Market_Inputs'!W26="confirmed",75,IF('02_Market_Inputs'!W26="pending",55,50)))+IF('02_Market_Inputs'!X26&lt;=1,20,IF('02_Market_Inputs'!X26&lt;=2,12,IF('02_Market_Inputs'!X26&lt;=3,6,0)))</f>
        <v/>
      </c>
      <c r="V26" s="10">
        <f>IF(ISBLANK('02_Market_Inputs'!V26),50,MIN(100,MAX(0,50+'02_Market_Inputs'!V26*100)))</f>
        <v/>
      </c>
      <c r="W26" s="10">
        <f>IF(ISBLANK('02_Market_Inputs'!Y26),50,MIN(100,MAX(0,50+'02_Market_Inputs'!Y26*15)))</f>
        <v/>
      </c>
    </row>
    <row r="27">
      <c r="A27" s="28">
        <f>'02_Market_Inputs'!A27</f>
        <v/>
      </c>
      <c r="B27" s="28">
        <f>'02_Market_Inputs'!B27</f>
        <v/>
      </c>
      <c r="C27" s="10">
        <f>IF(ISBLANK('02_Market_Inputs'!E27),50,MIN(100,MAX(0,100-('02_Market_Inputs'!E27-1)*14)))</f>
        <v/>
      </c>
      <c r="D27" s="10">
        <f>IF(ISBLANK('02_Market_Inputs'!F27),50,MIN(100,MAX(0,50-'02_Market_Inputs'!F27*100)))</f>
        <v/>
      </c>
      <c r="E27" s="10">
        <f>IF(ISBLANK('02_Market_Inputs'!I27),50,MIN(100,MAX(0,50-'02_Market_Inputs'!I27*15)))</f>
        <v/>
      </c>
      <c r="F27" s="10">
        <f>IF(ISBLANK('02_Market_Inputs'!J27),50,MIN(100,MAX(0,80-ABS('02_Market_Inputs'!J27-12)*4)))</f>
        <v/>
      </c>
      <c r="G27" s="10">
        <f>IF(OR(ISBLANK('02_Market_Inputs'!G27),ISBLANK('02_Market_Inputs'!H27)),50,(MIN(100,MAX(0,100-('02_Market_Inputs'!G27-2.5)*28.5))+MIN(100,MAX(0,('02_Market_Inputs'!H27+0.2)*58)))/2)</f>
        <v/>
      </c>
      <c r="H27" s="10">
        <f>IF(ISBLANK('02_Market_Inputs'!K27),50,MIN(100,MAX(0,50-'02_Market_Inputs'!K27*20)))</f>
        <v/>
      </c>
      <c r="I27" s="10">
        <f>IF(ISBLANK('02_Market_Inputs'!L27),50,MIN(100,MAX(0,100-'02_Market_Inputs'!L27*20)))</f>
        <v/>
      </c>
      <c r="J27" s="10">
        <f>IF(ISBLANK('02_Market_Inputs'!M27),50,MIN(100,MAX(0,50+'02_Market_Inputs'!M27*15)))</f>
        <v/>
      </c>
      <c r="K27" s="10">
        <f>IF(ISBLANK('02_Market_Inputs'!O27),50,MIN(100,MAX(0,50+'02_Market_Inputs'!O27*15)))</f>
        <v/>
      </c>
      <c r="L27" s="10">
        <f>IF(OR(ISBLANK('02_Market_Inputs'!P27),'02_Market_Inputs'!P27&lt;=0),50,MIN(100,MAX(0,100-'02_Market_Inputs'!P27)))</f>
        <v/>
      </c>
      <c r="M27" s="10">
        <f>IF(ISBLANK('02_Market_Inputs'!Q27),50,MIN(100,MAX(0,50-'02_Market_Inputs'!Q27*25)))</f>
        <v/>
      </c>
      <c r="N27" s="10">
        <f>IF(ISBLANK('02_Market_Inputs'!R27),50,MIN(100,MAX(0,50-'02_Market_Inputs'!R27*25)))</f>
        <v/>
      </c>
      <c r="O27" s="10">
        <f>IF(ISBLANK('02_Market_Inputs'!S27),50,MIN(100,MAX(0,100-'02_Market_Inputs'!S27)))</f>
        <v/>
      </c>
      <c r="P27" s="10">
        <f>IF(ISBLANK('02_Market_Inputs'!T27),50,MIN(100,MAX(0,50+'02_Market_Inputs'!T27*25)))</f>
        <v/>
      </c>
      <c r="Q27" s="10">
        <f>'06_MLR_Regression'!H27</f>
        <v/>
      </c>
      <c r="R27" s="10">
        <f>'07_VAR_Granger'!K27</f>
        <v/>
      </c>
      <c r="S27" s="10">
        <f>'08_ML_Validation'!K27</f>
        <v/>
      </c>
      <c r="T27" s="10">
        <f>'08_ML_Validation'!L27</f>
        <v/>
      </c>
      <c r="U27" s="10">
        <f>IF('02_Market_Inputs'!W27="completed",85,IF('02_Market_Inputs'!W27="confirmed",75,IF('02_Market_Inputs'!W27="pending",55,50)))+IF('02_Market_Inputs'!X27&lt;=1,20,IF('02_Market_Inputs'!X27&lt;=2,12,IF('02_Market_Inputs'!X27&lt;=3,6,0)))</f>
        <v/>
      </c>
      <c r="V27" s="10">
        <f>IF(ISBLANK('02_Market_Inputs'!V27),50,MIN(100,MAX(0,50+'02_Market_Inputs'!V27*100)))</f>
        <v/>
      </c>
      <c r="W27" s="10">
        <f>IF(ISBLANK('02_Market_Inputs'!Y27),50,MIN(100,MAX(0,50+'02_Market_Inputs'!Y27*15)))</f>
        <v/>
      </c>
    </row>
    <row r="28">
      <c r="A28" s="28">
        <f>'02_Market_Inputs'!A28</f>
        <v/>
      </c>
      <c r="B28" s="28">
        <f>'02_Market_Inputs'!B28</f>
        <v/>
      </c>
      <c r="C28" s="10">
        <f>IF(ISBLANK('02_Market_Inputs'!E28),50,MIN(100,MAX(0,100-('02_Market_Inputs'!E28-1)*14)))</f>
        <v/>
      </c>
      <c r="D28" s="10">
        <f>IF(ISBLANK('02_Market_Inputs'!F28),50,MIN(100,MAX(0,50-'02_Market_Inputs'!F28*100)))</f>
        <v/>
      </c>
      <c r="E28" s="10">
        <f>IF(ISBLANK('02_Market_Inputs'!I28),50,MIN(100,MAX(0,50-'02_Market_Inputs'!I28*15)))</f>
        <v/>
      </c>
      <c r="F28" s="10">
        <f>IF(ISBLANK('02_Market_Inputs'!J28),50,MIN(100,MAX(0,80-ABS('02_Market_Inputs'!J28-12)*4)))</f>
        <v/>
      </c>
      <c r="G28" s="10">
        <f>IF(OR(ISBLANK('02_Market_Inputs'!G28),ISBLANK('02_Market_Inputs'!H28)),50,(MIN(100,MAX(0,100-('02_Market_Inputs'!G28-2.5)*28.5))+MIN(100,MAX(0,('02_Market_Inputs'!H28+0.2)*58)))/2)</f>
        <v/>
      </c>
      <c r="H28" s="10">
        <f>IF(ISBLANK('02_Market_Inputs'!K28),50,MIN(100,MAX(0,50-'02_Market_Inputs'!K28*20)))</f>
        <v/>
      </c>
      <c r="I28" s="10">
        <f>IF(ISBLANK('02_Market_Inputs'!L28),50,MIN(100,MAX(0,100-'02_Market_Inputs'!L28*20)))</f>
        <v/>
      </c>
      <c r="J28" s="10">
        <f>IF(ISBLANK('02_Market_Inputs'!M28),50,MIN(100,MAX(0,50+'02_Market_Inputs'!M28*15)))</f>
        <v/>
      </c>
      <c r="K28" s="10">
        <f>IF(ISBLANK('02_Market_Inputs'!O28),50,MIN(100,MAX(0,50+'02_Market_Inputs'!O28*15)))</f>
        <v/>
      </c>
      <c r="L28" s="10">
        <f>IF(OR(ISBLANK('02_Market_Inputs'!P28),'02_Market_Inputs'!P28&lt;=0),50,MIN(100,MAX(0,100-'02_Market_Inputs'!P28)))</f>
        <v/>
      </c>
      <c r="M28" s="10">
        <f>IF(ISBLANK('02_Market_Inputs'!Q28),50,MIN(100,MAX(0,50-'02_Market_Inputs'!Q28*25)))</f>
        <v/>
      </c>
      <c r="N28" s="10">
        <f>IF(ISBLANK('02_Market_Inputs'!R28),50,MIN(100,MAX(0,50-'02_Market_Inputs'!R28*25)))</f>
        <v/>
      </c>
      <c r="O28" s="10">
        <f>IF(ISBLANK('02_Market_Inputs'!S28),50,MIN(100,MAX(0,100-'02_Market_Inputs'!S28)))</f>
        <v/>
      </c>
      <c r="P28" s="10">
        <f>IF(ISBLANK('02_Market_Inputs'!T28),50,MIN(100,MAX(0,50+'02_Market_Inputs'!T28*25)))</f>
        <v/>
      </c>
      <c r="Q28" s="10">
        <f>'06_MLR_Regression'!H28</f>
        <v/>
      </c>
      <c r="R28" s="10">
        <f>'07_VAR_Granger'!K28</f>
        <v/>
      </c>
      <c r="S28" s="10">
        <f>'08_ML_Validation'!K28</f>
        <v/>
      </c>
      <c r="T28" s="10">
        <f>'08_ML_Validation'!L28</f>
        <v/>
      </c>
      <c r="U28" s="10">
        <f>IF('02_Market_Inputs'!W28="completed",85,IF('02_Market_Inputs'!W28="confirmed",75,IF('02_Market_Inputs'!W28="pending",55,50)))+IF('02_Market_Inputs'!X28&lt;=1,20,IF('02_Market_Inputs'!X28&lt;=2,12,IF('02_Market_Inputs'!X28&lt;=3,6,0)))</f>
        <v/>
      </c>
      <c r="V28" s="10">
        <f>IF(ISBLANK('02_Market_Inputs'!V28),50,MIN(100,MAX(0,50+'02_Market_Inputs'!V28*100)))</f>
        <v/>
      </c>
      <c r="W28" s="10">
        <f>IF(ISBLANK('02_Market_Inputs'!Y28),50,MIN(100,MAX(0,50+'02_Market_Inputs'!Y28*15)))</f>
        <v/>
      </c>
    </row>
  </sheetData>
  <pageMargins left="0.75" right="0.75" top="1" bottom="1" header="0.5" footer="0.5"/>
  <pageSetup fitToHeight="0" fitToWidth="1"/>
</worksheet>
</file>

<file path=xl/worksheets/sheet5.xml><?xml version="1.0" encoding="utf-8"?>
<worksheet xmlns="http://schemas.openxmlformats.org/spreadsheetml/2006/main">
  <sheetPr>
    <tabColor rgb="00047857"/>
    <outlinePr summaryBelow="1" summaryRight="1"/>
    <pageSetUpPr fitToPage="1"/>
  </sheetPr>
  <dimension ref="A1:U2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11" customWidth="1" min="3" max="3"/>
    <col width="12" customWidth="1" min="4" max="4"/>
    <col width="15" customWidth="1" min="5" max="5"/>
    <col width="11" customWidth="1" min="6" max="6"/>
    <col width="11" customWidth="1" min="7" max="7"/>
    <col width="22" customWidth="1" min="8" max="8"/>
    <col width="16" customWidth="1" min="9" max="9"/>
    <col width="17" customWidth="1" min="10" max="10"/>
    <col width="20" customWidth="1" min="11" max="11"/>
    <col width="16" customWidth="1" min="12" max="12"/>
    <col width="13" customWidth="1" min="13" max="13"/>
    <col width="17" customWidth="1" min="14" max="14"/>
    <col width="15" customWidth="1" min="15" max="15"/>
    <col width="17" customWidth="1" min="16" max="16"/>
    <col width="18" customWidth="1" min="17" max="17"/>
    <col width="21" customWidth="1" min="18" max="18"/>
    <col width="17" customWidth="1" min="19" max="19"/>
    <col width="14" customWidth="1" min="20" max="20"/>
    <col width="18" customWidth="1" min="21" max="21"/>
  </cols>
  <sheetData>
    <row r="1">
      <c r="A1" s="1" t="inlineStr">
        <is>
          <t>SIX-PILLAR FORMULA CALCULATION</t>
        </is>
      </c>
    </row>
    <row r="2">
      <c r="A2" s="2" t="inlineStr">
        <is>
          <t>Raw scores are rounded exactly as the production scorer, weighted contributions are rounded before summation</t>
        </is>
      </c>
    </row>
    <row r="3"/>
    <row r="4" ht="32" customHeight="1">
      <c r="A4" s="18" t="inlineStr">
        <is>
          <t>Quarter</t>
        </is>
      </c>
      <c r="B4" s="18" t="inlineStr">
        <is>
          <t>As-of Date</t>
        </is>
      </c>
      <c r="C4" s="18" t="inlineStr">
        <is>
          <t>Macro Raw</t>
        </is>
      </c>
      <c r="D4" s="18" t="inlineStr">
        <is>
          <t>Global Raw</t>
        </is>
      </c>
      <c r="E4" s="18" t="inlineStr">
        <is>
          <t>Valuation Raw</t>
        </is>
      </c>
      <c r="F4" s="18" t="inlineStr">
        <is>
          <t>Quant Raw</t>
        </is>
      </c>
      <c r="G4" s="18" t="inlineStr">
        <is>
          <t>ML Raw</t>
        </is>
      </c>
      <c r="H4" s="18" t="inlineStr">
        <is>
          <t>Market Structure Raw</t>
        </is>
      </c>
      <c r="I4" s="18" t="inlineStr">
        <is>
          <t>Macro Weighted</t>
        </is>
      </c>
      <c r="J4" s="18" t="inlineStr">
        <is>
          <t>Global Weighted</t>
        </is>
      </c>
      <c r="K4" s="18" t="inlineStr">
        <is>
          <t>Valuation Weighted</t>
        </is>
      </c>
      <c r="L4" s="18" t="inlineStr">
        <is>
          <t>Quant Weighted</t>
        </is>
      </c>
      <c r="M4" s="18" t="inlineStr">
        <is>
          <t>ML Weighted</t>
        </is>
      </c>
      <c r="N4" s="18" t="inlineStr">
        <is>
          <t>Market Weighted</t>
        </is>
      </c>
      <c r="O4" s="18" t="inlineStr">
        <is>
          <t>Raw Composite</t>
        </is>
      </c>
      <c r="P4" s="18" t="inlineStr">
        <is>
          <t>Macro Unrounded</t>
        </is>
      </c>
      <c r="Q4" s="18" t="inlineStr">
        <is>
          <t>Global Unrounded</t>
        </is>
      </c>
      <c r="R4" s="18" t="inlineStr">
        <is>
          <t>Valuation Unrounded</t>
        </is>
      </c>
      <c r="S4" s="18" t="inlineStr">
        <is>
          <t>Quant Unrounded</t>
        </is>
      </c>
      <c r="T4" s="18" t="inlineStr">
        <is>
          <t>ML Unrounded</t>
        </is>
      </c>
      <c r="U4" s="18" t="inlineStr">
        <is>
          <t>Market Unrounded</t>
        </is>
      </c>
    </row>
    <row r="5">
      <c r="A5" s="28">
        <f>'03_Factor_SubScores'!A5</f>
        <v/>
      </c>
      <c r="B5" s="28">
        <f>'03_Factor_SubScores'!B5</f>
        <v/>
      </c>
      <c r="C5" s="10">
        <f>ROUND(P5,2)</f>
        <v/>
      </c>
      <c r="D5" s="10">
        <f>ROUND(Q5,2)</f>
        <v/>
      </c>
      <c r="E5" s="10">
        <f>ROUND(R5,2)</f>
        <v/>
      </c>
      <c r="F5" s="10">
        <f>ROUND(S5,2)</f>
        <v/>
      </c>
      <c r="G5" s="10">
        <f>ROUND(T5,2)</f>
        <v/>
      </c>
      <c r="H5" s="10">
        <f>ROUND(U5,2)</f>
        <v/>
      </c>
      <c r="I5" s="10">
        <f>ROUND(P5*'01_Model_Config'!$C$6,2)</f>
        <v/>
      </c>
      <c r="J5" s="10">
        <f>ROUND(Q5*'01_Model_Config'!$C$7,2)</f>
        <v/>
      </c>
      <c r="K5" s="10">
        <f>ROUND(R5*'01_Model_Config'!$C$8,2)</f>
        <v/>
      </c>
      <c r="L5" s="10">
        <f>ROUND(S5*'01_Model_Config'!$C$9,2)</f>
        <v/>
      </c>
      <c r="M5" s="10">
        <f>ROUND(T5*'01_Model_Config'!$C$10,2)</f>
        <v/>
      </c>
      <c r="N5" s="10">
        <f>ROUND(U5*'01_Model_Config'!$C$11,2)</f>
        <v/>
      </c>
      <c r="O5" s="10">
        <f>SUM(I5:N5)</f>
        <v/>
      </c>
      <c r="P5" s="29">
        <f>AVERAGE('03_Factor_SubScores'!C5:G5)</f>
        <v/>
      </c>
      <c r="Q5" s="29">
        <f>IF('02_Market_Inputs'!O5&lt;-2,MIN(20,IF('02_Market_Inputs'!P5&gt;0,AVERAGE('03_Factor_SubScores'!H5:L5),AVERAGE('03_Factor_SubScores'!H5:K5))),IF('02_Market_Inputs'!P5&gt;0,AVERAGE('03_Factor_SubScores'!H5:L5),AVERAGE('03_Factor_SubScores'!H5:K5)))</f>
        <v/>
      </c>
      <c r="R5" s="29">
        <f>IF(ISBLANK('02_Market_Inputs'!U5),AVERAGE('03_Factor_SubScores'!M5:P5),AVERAGE('03_Factor_SubScores'!M5:P5)*0.7+'02_Market_Inputs'!U5*0.3)</f>
        <v/>
      </c>
      <c r="S5" s="29">
        <f>MIN(100,MAX(0,AVERAGE('03_Factor_SubScores'!Q5:R5)+MIN(10,'06_MLR_Regression'!G5)+MIN(15,'07_VAR_Granger'!I5*3)))</f>
        <v/>
      </c>
      <c r="T5" s="29">
        <f>MIN(100,MAX(0,'03_Factor_SubScores'!S5*0.3+'03_Factor_SubScores'!T5*0.7))</f>
        <v/>
      </c>
      <c r="U5" s="29">
        <f>MIN(100,MAX(0,AVERAGE('03_Factor_SubScores'!U5:W5)))</f>
        <v/>
      </c>
    </row>
    <row r="6">
      <c r="A6" s="28">
        <f>'03_Factor_SubScores'!A6</f>
        <v/>
      </c>
      <c r="B6" s="28">
        <f>'03_Factor_SubScores'!B6</f>
        <v/>
      </c>
      <c r="C6" s="10">
        <f>ROUND(P6,2)</f>
        <v/>
      </c>
      <c r="D6" s="10">
        <f>ROUND(Q6,2)</f>
        <v/>
      </c>
      <c r="E6" s="10">
        <f>ROUND(R6,2)</f>
        <v/>
      </c>
      <c r="F6" s="10">
        <f>ROUND(S6,2)</f>
        <v/>
      </c>
      <c r="G6" s="10">
        <f>ROUND(T6,2)</f>
        <v/>
      </c>
      <c r="H6" s="10">
        <f>ROUND(U6,2)</f>
        <v/>
      </c>
      <c r="I6" s="10">
        <f>ROUND(P6*'01_Model_Config'!$C$6,2)</f>
        <v/>
      </c>
      <c r="J6" s="10">
        <f>ROUND(Q6*'01_Model_Config'!$C$7,2)</f>
        <v/>
      </c>
      <c r="K6" s="10">
        <f>ROUND(R6*'01_Model_Config'!$C$8,2)</f>
        <v/>
      </c>
      <c r="L6" s="10">
        <f>ROUND(S6*'01_Model_Config'!$C$9,2)</f>
        <v/>
      </c>
      <c r="M6" s="10">
        <f>ROUND(T6*'01_Model_Config'!$C$10,2)</f>
        <v/>
      </c>
      <c r="N6" s="10">
        <f>ROUND(U6*'01_Model_Config'!$C$11,2)</f>
        <v/>
      </c>
      <c r="O6" s="10">
        <f>SUM(I6:N6)</f>
        <v/>
      </c>
      <c r="P6" s="29">
        <f>AVERAGE('03_Factor_SubScores'!C6:G6)</f>
        <v/>
      </c>
      <c r="Q6" s="29">
        <f>IF('02_Market_Inputs'!O6&lt;-2,MIN(20,IF('02_Market_Inputs'!P6&gt;0,AVERAGE('03_Factor_SubScores'!H6:L6),AVERAGE('03_Factor_SubScores'!H6:K6))),IF('02_Market_Inputs'!P6&gt;0,AVERAGE('03_Factor_SubScores'!H6:L6),AVERAGE('03_Factor_SubScores'!H6:K6)))</f>
        <v/>
      </c>
      <c r="R6" s="29">
        <f>IF(ISBLANK('02_Market_Inputs'!U6),AVERAGE('03_Factor_SubScores'!M6:P6),AVERAGE('03_Factor_SubScores'!M6:P6)*0.7+'02_Market_Inputs'!U6*0.3)</f>
        <v/>
      </c>
      <c r="S6" s="29">
        <f>MIN(100,MAX(0,AVERAGE('03_Factor_SubScores'!Q6:R6)+MIN(10,'06_MLR_Regression'!G6)+MIN(15,'07_VAR_Granger'!I6*3)))</f>
        <v/>
      </c>
      <c r="T6" s="29">
        <f>MIN(100,MAX(0,'03_Factor_SubScores'!S6*0.3+'03_Factor_SubScores'!T6*0.7))</f>
        <v/>
      </c>
      <c r="U6" s="29">
        <f>MIN(100,MAX(0,AVERAGE('03_Factor_SubScores'!U6:W6)))</f>
        <v/>
      </c>
    </row>
    <row r="7">
      <c r="A7" s="28">
        <f>'03_Factor_SubScores'!A7</f>
        <v/>
      </c>
      <c r="B7" s="28">
        <f>'03_Factor_SubScores'!B7</f>
        <v/>
      </c>
      <c r="C7" s="10">
        <f>ROUND(P7,2)</f>
        <v/>
      </c>
      <c r="D7" s="10">
        <f>ROUND(Q7,2)</f>
        <v/>
      </c>
      <c r="E7" s="10">
        <f>ROUND(R7,2)</f>
        <v/>
      </c>
      <c r="F7" s="10">
        <f>ROUND(S7,2)</f>
        <v/>
      </c>
      <c r="G7" s="10">
        <f>ROUND(T7,2)</f>
        <v/>
      </c>
      <c r="H7" s="10">
        <f>ROUND(U7,2)</f>
        <v/>
      </c>
      <c r="I7" s="10">
        <f>ROUND(P7*'01_Model_Config'!$C$6,2)</f>
        <v/>
      </c>
      <c r="J7" s="10">
        <f>ROUND(Q7*'01_Model_Config'!$C$7,2)</f>
        <v/>
      </c>
      <c r="K7" s="10">
        <f>ROUND(R7*'01_Model_Config'!$C$8,2)</f>
        <v/>
      </c>
      <c r="L7" s="10">
        <f>ROUND(S7*'01_Model_Config'!$C$9,2)</f>
        <v/>
      </c>
      <c r="M7" s="10">
        <f>ROUND(T7*'01_Model_Config'!$C$10,2)</f>
        <v/>
      </c>
      <c r="N7" s="10">
        <f>ROUND(U7*'01_Model_Config'!$C$11,2)</f>
        <v/>
      </c>
      <c r="O7" s="10">
        <f>SUM(I7:N7)</f>
        <v/>
      </c>
      <c r="P7" s="29">
        <f>AVERAGE('03_Factor_SubScores'!C7:G7)</f>
        <v/>
      </c>
      <c r="Q7" s="29">
        <f>IF('02_Market_Inputs'!O7&lt;-2,MIN(20,IF('02_Market_Inputs'!P7&gt;0,AVERAGE('03_Factor_SubScores'!H7:L7),AVERAGE('03_Factor_SubScores'!H7:K7))),IF('02_Market_Inputs'!P7&gt;0,AVERAGE('03_Factor_SubScores'!H7:L7),AVERAGE('03_Factor_SubScores'!H7:K7)))</f>
        <v/>
      </c>
      <c r="R7" s="29">
        <f>IF(ISBLANK('02_Market_Inputs'!U7),AVERAGE('03_Factor_SubScores'!M7:P7),AVERAGE('03_Factor_SubScores'!M7:P7)*0.7+'02_Market_Inputs'!U7*0.3)</f>
        <v/>
      </c>
      <c r="S7" s="29">
        <f>MIN(100,MAX(0,AVERAGE('03_Factor_SubScores'!Q7:R7)+MIN(10,'06_MLR_Regression'!G7)+MIN(15,'07_VAR_Granger'!I7*3)))</f>
        <v/>
      </c>
      <c r="T7" s="29">
        <f>MIN(100,MAX(0,'03_Factor_SubScores'!S7*0.3+'03_Factor_SubScores'!T7*0.7))</f>
        <v/>
      </c>
      <c r="U7" s="29">
        <f>MIN(100,MAX(0,AVERAGE('03_Factor_SubScores'!U7:W7)))</f>
        <v/>
      </c>
    </row>
    <row r="8">
      <c r="A8" s="28">
        <f>'03_Factor_SubScores'!A8</f>
        <v/>
      </c>
      <c r="B8" s="28">
        <f>'03_Factor_SubScores'!B8</f>
        <v/>
      </c>
      <c r="C8" s="10">
        <f>ROUND(P8,2)</f>
        <v/>
      </c>
      <c r="D8" s="10">
        <f>ROUND(Q8,2)</f>
        <v/>
      </c>
      <c r="E8" s="10">
        <f>ROUND(R8,2)</f>
        <v/>
      </c>
      <c r="F8" s="10">
        <f>ROUND(S8,2)</f>
        <v/>
      </c>
      <c r="G8" s="10">
        <f>ROUND(T8,2)</f>
        <v/>
      </c>
      <c r="H8" s="10">
        <f>ROUND(U8,2)</f>
        <v/>
      </c>
      <c r="I8" s="10">
        <f>ROUND(P8*'01_Model_Config'!$C$6,2)</f>
        <v/>
      </c>
      <c r="J8" s="10">
        <f>ROUND(Q8*'01_Model_Config'!$C$7,2)</f>
        <v/>
      </c>
      <c r="K8" s="10">
        <f>ROUND(R8*'01_Model_Config'!$C$8,2)</f>
        <v/>
      </c>
      <c r="L8" s="10">
        <f>ROUND(S8*'01_Model_Config'!$C$9,2)</f>
        <v/>
      </c>
      <c r="M8" s="10">
        <f>ROUND(T8*'01_Model_Config'!$C$10,2)</f>
        <v/>
      </c>
      <c r="N8" s="10">
        <f>ROUND(U8*'01_Model_Config'!$C$11,2)</f>
        <v/>
      </c>
      <c r="O8" s="10">
        <f>SUM(I8:N8)</f>
        <v/>
      </c>
      <c r="P8" s="29">
        <f>AVERAGE('03_Factor_SubScores'!C8:G8)</f>
        <v/>
      </c>
      <c r="Q8" s="29">
        <f>IF('02_Market_Inputs'!O8&lt;-2,MIN(20,IF('02_Market_Inputs'!P8&gt;0,AVERAGE('03_Factor_SubScores'!H8:L8),AVERAGE('03_Factor_SubScores'!H8:K8))),IF('02_Market_Inputs'!P8&gt;0,AVERAGE('03_Factor_SubScores'!H8:L8),AVERAGE('03_Factor_SubScores'!H8:K8)))</f>
        <v/>
      </c>
      <c r="R8" s="29">
        <f>IF(ISBLANK('02_Market_Inputs'!U8),AVERAGE('03_Factor_SubScores'!M8:P8),AVERAGE('03_Factor_SubScores'!M8:P8)*0.7+'02_Market_Inputs'!U8*0.3)</f>
        <v/>
      </c>
      <c r="S8" s="29">
        <f>MIN(100,MAX(0,AVERAGE('03_Factor_SubScores'!Q8:R8)+MIN(10,'06_MLR_Regression'!G8)+MIN(15,'07_VAR_Granger'!I8*3)))</f>
        <v/>
      </c>
      <c r="T8" s="29">
        <f>MIN(100,MAX(0,'03_Factor_SubScores'!S8*0.3+'03_Factor_SubScores'!T8*0.7))</f>
        <v/>
      </c>
      <c r="U8" s="29">
        <f>MIN(100,MAX(0,AVERAGE('03_Factor_SubScores'!U8:W8)))</f>
        <v/>
      </c>
    </row>
    <row r="9">
      <c r="A9" s="28">
        <f>'03_Factor_SubScores'!A9</f>
        <v/>
      </c>
      <c r="B9" s="28">
        <f>'03_Factor_SubScores'!B9</f>
        <v/>
      </c>
      <c r="C9" s="10">
        <f>ROUND(P9,2)</f>
        <v/>
      </c>
      <c r="D9" s="10">
        <f>ROUND(Q9,2)</f>
        <v/>
      </c>
      <c r="E9" s="10">
        <f>ROUND(R9,2)</f>
        <v/>
      </c>
      <c r="F9" s="10">
        <f>ROUND(S9,2)</f>
        <v/>
      </c>
      <c r="G9" s="10">
        <f>ROUND(T9,2)</f>
        <v/>
      </c>
      <c r="H9" s="10">
        <f>ROUND(U9,2)</f>
        <v/>
      </c>
      <c r="I9" s="10">
        <f>ROUND(P9*'01_Model_Config'!$C$6,2)</f>
        <v/>
      </c>
      <c r="J9" s="10">
        <f>ROUND(Q9*'01_Model_Config'!$C$7,2)</f>
        <v/>
      </c>
      <c r="K9" s="10">
        <f>ROUND(R9*'01_Model_Config'!$C$8,2)</f>
        <v/>
      </c>
      <c r="L9" s="10">
        <f>ROUND(S9*'01_Model_Config'!$C$9,2)</f>
        <v/>
      </c>
      <c r="M9" s="10">
        <f>ROUND(T9*'01_Model_Config'!$C$10,2)</f>
        <v/>
      </c>
      <c r="N9" s="10">
        <f>ROUND(U9*'01_Model_Config'!$C$11,2)</f>
        <v/>
      </c>
      <c r="O9" s="10">
        <f>SUM(I9:N9)</f>
        <v/>
      </c>
      <c r="P9" s="29">
        <f>AVERAGE('03_Factor_SubScores'!C9:G9)</f>
        <v/>
      </c>
      <c r="Q9" s="29">
        <f>IF('02_Market_Inputs'!O9&lt;-2,MIN(20,IF('02_Market_Inputs'!P9&gt;0,AVERAGE('03_Factor_SubScores'!H9:L9),AVERAGE('03_Factor_SubScores'!H9:K9))),IF('02_Market_Inputs'!P9&gt;0,AVERAGE('03_Factor_SubScores'!H9:L9),AVERAGE('03_Factor_SubScores'!H9:K9)))</f>
        <v/>
      </c>
      <c r="R9" s="29">
        <f>IF(ISBLANK('02_Market_Inputs'!U9),AVERAGE('03_Factor_SubScores'!M9:P9),AVERAGE('03_Factor_SubScores'!M9:P9)*0.7+'02_Market_Inputs'!U9*0.3)</f>
        <v/>
      </c>
      <c r="S9" s="29">
        <f>MIN(100,MAX(0,AVERAGE('03_Factor_SubScores'!Q9:R9)+MIN(10,'06_MLR_Regression'!G9)+MIN(15,'07_VAR_Granger'!I9*3)))</f>
        <v/>
      </c>
      <c r="T9" s="29">
        <f>MIN(100,MAX(0,'03_Factor_SubScores'!S9*0.3+'03_Factor_SubScores'!T9*0.7))</f>
        <v/>
      </c>
      <c r="U9" s="29">
        <f>MIN(100,MAX(0,AVERAGE('03_Factor_SubScores'!U9:W9)))</f>
        <v/>
      </c>
    </row>
    <row r="10">
      <c r="A10" s="28">
        <f>'03_Factor_SubScores'!A10</f>
        <v/>
      </c>
      <c r="B10" s="28">
        <f>'03_Factor_SubScores'!B10</f>
        <v/>
      </c>
      <c r="C10" s="10">
        <f>ROUND(P10,2)</f>
        <v/>
      </c>
      <c r="D10" s="10">
        <f>ROUND(Q10,2)</f>
        <v/>
      </c>
      <c r="E10" s="10">
        <f>ROUND(R10,2)</f>
        <v/>
      </c>
      <c r="F10" s="10">
        <f>ROUND(S10,2)</f>
        <v/>
      </c>
      <c r="G10" s="10">
        <f>ROUND(T10,2)</f>
        <v/>
      </c>
      <c r="H10" s="10">
        <f>ROUND(U10,2)</f>
        <v/>
      </c>
      <c r="I10" s="10">
        <f>ROUND(P10*'01_Model_Config'!$C$6,2)</f>
        <v/>
      </c>
      <c r="J10" s="10">
        <f>ROUND(Q10*'01_Model_Config'!$C$7,2)</f>
        <v/>
      </c>
      <c r="K10" s="10">
        <f>ROUND(R10*'01_Model_Config'!$C$8,2)</f>
        <v/>
      </c>
      <c r="L10" s="10">
        <f>ROUND(S10*'01_Model_Config'!$C$9,2)</f>
        <v/>
      </c>
      <c r="M10" s="10">
        <f>ROUND(T10*'01_Model_Config'!$C$10,2)</f>
        <v/>
      </c>
      <c r="N10" s="10">
        <f>ROUND(U10*'01_Model_Config'!$C$11,2)</f>
        <v/>
      </c>
      <c r="O10" s="10">
        <f>SUM(I10:N10)</f>
        <v/>
      </c>
      <c r="P10" s="29">
        <f>AVERAGE('03_Factor_SubScores'!C10:G10)</f>
        <v/>
      </c>
      <c r="Q10" s="29">
        <f>IF('02_Market_Inputs'!O10&lt;-2,MIN(20,IF('02_Market_Inputs'!P10&gt;0,AVERAGE('03_Factor_SubScores'!H10:L10),AVERAGE('03_Factor_SubScores'!H10:K10))),IF('02_Market_Inputs'!P10&gt;0,AVERAGE('03_Factor_SubScores'!H10:L10),AVERAGE('03_Factor_SubScores'!H10:K10)))</f>
        <v/>
      </c>
      <c r="R10" s="29">
        <f>IF(ISBLANK('02_Market_Inputs'!U10),AVERAGE('03_Factor_SubScores'!M10:P10),AVERAGE('03_Factor_SubScores'!M10:P10)*0.7+'02_Market_Inputs'!U10*0.3)</f>
        <v/>
      </c>
      <c r="S10" s="29">
        <f>MIN(100,MAX(0,AVERAGE('03_Factor_SubScores'!Q10:R10)+MIN(10,'06_MLR_Regression'!G10)+MIN(15,'07_VAR_Granger'!I10*3)))</f>
        <v/>
      </c>
      <c r="T10" s="29">
        <f>MIN(100,MAX(0,'03_Factor_SubScores'!S10*0.3+'03_Factor_SubScores'!T10*0.7))</f>
        <v/>
      </c>
      <c r="U10" s="29">
        <f>MIN(100,MAX(0,AVERAGE('03_Factor_SubScores'!U10:W10)))</f>
        <v/>
      </c>
    </row>
    <row r="11">
      <c r="A11" s="28">
        <f>'03_Factor_SubScores'!A11</f>
        <v/>
      </c>
      <c r="B11" s="28">
        <f>'03_Factor_SubScores'!B11</f>
        <v/>
      </c>
      <c r="C11" s="10">
        <f>ROUND(P11,2)</f>
        <v/>
      </c>
      <c r="D11" s="10">
        <f>ROUND(Q11,2)</f>
        <v/>
      </c>
      <c r="E11" s="10">
        <f>ROUND(R11,2)</f>
        <v/>
      </c>
      <c r="F11" s="10">
        <f>ROUND(S11,2)</f>
        <v/>
      </c>
      <c r="G11" s="10">
        <f>ROUND(T11,2)</f>
        <v/>
      </c>
      <c r="H11" s="10">
        <f>ROUND(U11,2)</f>
        <v/>
      </c>
      <c r="I11" s="10">
        <f>ROUND(P11*'01_Model_Config'!$C$6,2)</f>
        <v/>
      </c>
      <c r="J11" s="10">
        <f>ROUND(Q11*'01_Model_Config'!$C$7,2)</f>
        <v/>
      </c>
      <c r="K11" s="10">
        <f>ROUND(R11*'01_Model_Config'!$C$8,2)</f>
        <v/>
      </c>
      <c r="L11" s="10">
        <f>ROUND(S11*'01_Model_Config'!$C$9,2)</f>
        <v/>
      </c>
      <c r="M11" s="10">
        <f>ROUND(T11*'01_Model_Config'!$C$10,2)</f>
        <v/>
      </c>
      <c r="N11" s="10">
        <f>ROUND(U11*'01_Model_Config'!$C$11,2)</f>
        <v/>
      </c>
      <c r="O11" s="10">
        <f>SUM(I11:N11)</f>
        <v/>
      </c>
      <c r="P11" s="29">
        <f>AVERAGE('03_Factor_SubScores'!C11:G11)</f>
        <v/>
      </c>
      <c r="Q11" s="29">
        <f>IF('02_Market_Inputs'!O11&lt;-2,MIN(20,IF('02_Market_Inputs'!P11&gt;0,AVERAGE('03_Factor_SubScores'!H11:L11),AVERAGE('03_Factor_SubScores'!H11:K11))),IF('02_Market_Inputs'!P11&gt;0,AVERAGE('03_Factor_SubScores'!H11:L11),AVERAGE('03_Factor_SubScores'!H11:K11)))</f>
        <v/>
      </c>
      <c r="R11" s="29">
        <f>IF(ISBLANK('02_Market_Inputs'!U11),AVERAGE('03_Factor_SubScores'!M11:P11),AVERAGE('03_Factor_SubScores'!M11:P11)*0.7+'02_Market_Inputs'!U11*0.3)</f>
        <v/>
      </c>
      <c r="S11" s="29">
        <f>MIN(100,MAX(0,AVERAGE('03_Factor_SubScores'!Q11:R11)+MIN(10,'06_MLR_Regression'!G11)+MIN(15,'07_VAR_Granger'!I11*3)))</f>
        <v/>
      </c>
      <c r="T11" s="29">
        <f>MIN(100,MAX(0,'03_Factor_SubScores'!S11*0.3+'03_Factor_SubScores'!T11*0.7))</f>
        <v/>
      </c>
      <c r="U11" s="29">
        <f>MIN(100,MAX(0,AVERAGE('03_Factor_SubScores'!U11:W11)))</f>
        <v/>
      </c>
    </row>
    <row r="12">
      <c r="A12" s="28">
        <f>'03_Factor_SubScores'!A12</f>
        <v/>
      </c>
      <c r="B12" s="28">
        <f>'03_Factor_SubScores'!B12</f>
        <v/>
      </c>
      <c r="C12" s="10">
        <f>ROUND(P12,2)</f>
        <v/>
      </c>
      <c r="D12" s="10">
        <f>ROUND(Q12,2)</f>
        <v/>
      </c>
      <c r="E12" s="10">
        <f>ROUND(R12,2)</f>
        <v/>
      </c>
      <c r="F12" s="10">
        <f>ROUND(S12,2)</f>
        <v/>
      </c>
      <c r="G12" s="10">
        <f>ROUND(T12,2)</f>
        <v/>
      </c>
      <c r="H12" s="10">
        <f>ROUND(U12,2)</f>
        <v/>
      </c>
      <c r="I12" s="10">
        <f>ROUND(P12*'01_Model_Config'!$C$6,2)</f>
        <v/>
      </c>
      <c r="J12" s="10">
        <f>ROUND(Q12*'01_Model_Config'!$C$7,2)</f>
        <v/>
      </c>
      <c r="K12" s="10">
        <f>ROUND(R12*'01_Model_Config'!$C$8,2)</f>
        <v/>
      </c>
      <c r="L12" s="10">
        <f>ROUND(S12*'01_Model_Config'!$C$9,2)</f>
        <v/>
      </c>
      <c r="M12" s="10">
        <f>ROUND(T12*'01_Model_Config'!$C$10,2)</f>
        <v/>
      </c>
      <c r="N12" s="10">
        <f>ROUND(U12*'01_Model_Config'!$C$11,2)</f>
        <v/>
      </c>
      <c r="O12" s="10">
        <f>SUM(I12:N12)</f>
        <v/>
      </c>
      <c r="P12" s="29">
        <f>AVERAGE('03_Factor_SubScores'!C12:G12)</f>
        <v/>
      </c>
      <c r="Q12" s="29">
        <f>IF('02_Market_Inputs'!O12&lt;-2,MIN(20,IF('02_Market_Inputs'!P12&gt;0,AVERAGE('03_Factor_SubScores'!H12:L12),AVERAGE('03_Factor_SubScores'!H12:K12))),IF('02_Market_Inputs'!P12&gt;0,AVERAGE('03_Factor_SubScores'!H12:L12),AVERAGE('03_Factor_SubScores'!H12:K12)))</f>
        <v/>
      </c>
      <c r="R12" s="29">
        <f>IF(ISBLANK('02_Market_Inputs'!U12),AVERAGE('03_Factor_SubScores'!M12:P12),AVERAGE('03_Factor_SubScores'!M12:P12)*0.7+'02_Market_Inputs'!U12*0.3)</f>
        <v/>
      </c>
      <c r="S12" s="29">
        <f>MIN(100,MAX(0,AVERAGE('03_Factor_SubScores'!Q12:R12)+MIN(10,'06_MLR_Regression'!G12)+MIN(15,'07_VAR_Granger'!I12*3)))</f>
        <v/>
      </c>
      <c r="T12" s="29">
        <f>MIN(100,MAX(0,'03_Factor_SubScores'!S12*0.3+'03_Factor_SubScores'!T12*0.7))</f>
        <v/>
      </c>
      <c r="U12" s="29">
        <f>MIN(100,MAX(0,AVERAGE('03_Factor_SubScores'!U12:W12)))</f>
        <v/>
      </c>
    </row>
    <row r="13">
      <c r="A13" s="28">
        <f>'03_Factor_SubScores'!A13</f>
        <v/>
      </c>
      <c r="B13" s="28">
        <f>'03_Factor_SubScores'!B13</f>
        <v/>
      </c>
      <c r="C13" s="10">
        <f>ROUND(P13,2)</f>
        <v/>
      </c>
      <c r="D13" s="10">
        <f>ROUND(Q13,2)</f>
        <v/>
      </c>
      <c r="E13" s="10">
        <f>ROUND(R13,2)</f>
        <v/>
      </c>
      <c r="F13" s="10">
        <f>ROUND(S13,2)</f>
        <v/>
      </c>
      <c r="G13" s="10">
        <f>ROUND(T13,2)</f>
        <v/>
      </c>
      <c r="H13" s="10">
        <f>ROUND(U13,2)</f>
        <v/>
      </c>
      <c r="I13" s="10">
        <f>ROUND(P13*'01_Model_Config'!$C$6,2)</f>
        <v/>
      </c>
      <c r="J13" s="10">
        <f>ROUND(Q13*'01_Model_Config'!$C$7,2)</f>
        <v/>
      </c>
      <c r="K13" s="10">
        <f>ROUND(R13*'01_Model_Config'!$C$8,2)</f>
        <v/>
      </c>
      <c r="L13" s="10">
        <f>ROUND(S13*'01_Model_Config'!$C$9,2)</f>
        <v/>
      </c>
      <c r="M13" s="10">
        <f>ROUND(T13*'01_Model_Config'!$C$10,2)</f>
        <v/>
      </c>
      <c r="N13" s="10">
        <f>ROUND(U13*'01_Model_Config'!$C$11,2)</f>
        <v/>
      </c>
      <c r="O13" s="10">
        <f>SUM(I13:N13)</f>
        <v/>
      </c>
      <c r="P13" s="29">
        <f>AVERAGE('03_Factor_SubScores'!C13:G13)</f>
        <v/>
      </c>
      <c r="Q13" s="29">
        <f>IF('02_Market_Inputs'!O13&lt;-2,MIN(20,IF('02_Market_Inputs'!P13&gt;0,AVERAGE('03_Factor_SubScores'!H13:L13),AVERAGE('03_Factor_SubScores'!H13:K13))),IF('02_Market_Inputs'!P13&gt;0,AVERAGE('03_Factor_SubScores'!H13:L13),AVERAGE('03_Factor_SubScores'!H13:K13)))</f>
        <v/>
      </c>
      <c r="R13" s="29">
        <f>IF(ISBLANK('02_Market_Inputs'!U13),AVERAGE('03_Factor_SubScores'!M13:P13),AVERAGE('03_Factor_SubScores'!M13:P13)*0.7+'02_Market_Inputs'!U13*0.3)</f>
        <v/>
      </c>
      <c r="S13" s="29">
        <f>MIN(100,MAX(0,AVERAGE('03_Factor_SubScores'!Q13:R13)+MIN(10,'06_MLR_Regression'!G13)+MIN(15,'07_VAR_Granger'!I13*3)))</f>
        <v/>
      </c>
      <c r="T13" s="29">
        <f>MIN(100,MAX(0,'03_Factor_SubScores'!S13*0.3+'03_Factor_SubScores'!T13*0.7))</f>
        <v/>
      </c>
      <c r="U13" s="29">
        <f>MIN(100,MAX(0,AVERAGE('03_Factor_SubScores'!U13:W13)))</f>
        <v/>
      </c>
    </row>
    <row r="14">
      <c r="A14" s="28">
        <f>'03_Factor_SubScores'!A14</f>
        <v/>
      </c>
      <c r="B14" s="28">
        <f>'03_Factor_SubScores'!B14</f>
        <v/>
      </c>
      <c r="C14" s="10">
        <f>ROUND(P14,2)</f>
        <v/>
      </c>
      <c r="D14" s="10">
        <f>ROUND(Q14,2)</f>
        <v/>
      </c>
      <c r="E14" s="10">
        <f>ROUND(R14,2)</f>
        <v/>
      </c>
      <c r="F14" s="10">
        <f>ROUND(S14,2)</f>
        <v/>
      </c>
      <c r="G14" s="10">
        <f>ROUND(T14,2)</f>
        <v/>
      </c>
      <c r="H14" s="10">
        <f>ROUND(U14,2)</f>
        <v/>
      </c>
      <c r="I14" s="10">
        <f>ROUND(P14*'01_Model_Config'!$C$6,2)</f>
        <v/>
      </c>
      <c r="J14" s="10">
        <f>ROUND(Q14*'01_Model_Config'!$C$7,2)</f>
        <v/>
      </c>
      <c r="K14" s="10">
        <f>ROUND(R14*'01_Model_Config'!$C$8,2)</f>
        <v/>
      </c>
      <c r="L14" s="10">
        <f>ROUND(S14*'01_Model_Config'!$C$9,2)</f>
        <v/>
      </c>
      <c r="M14" s="10">
        <f>ROUND(T14*'01_Model_Config'!$C$10,2)</f>
        <v/>
      </c>
      <c r="N14" s="10">
        <f>ROUND(U14*'01_Model_Config'!$C$11,2)</f>
        <v/>
      </c>
      <c r="O14" s="10">
        <f>SUM(I14:N14)</f>
        <v/>
      </c>
      <c r="P14" s="29">
        <f>AVERAGE('03_Factor_SubScores'!C14:G14)</f>
        <v/>
      </c>
      <c r="Q14" s="29">
        <f>IF('02_Market_Inputs'!O14&lt;-2,MIN(20,IF('02_Market_Inputs'!P14&gt;0,AVERAGE('03_Factor_SubScores'!H14:L14),AVERAGE('03_Factor_SubScores'!H14:K14))),IF('02_Market_Inputs'!P14&gt;0,AVERAGE('03_Factor_SubScores'!H14:L14),AVERAGE('03_Factor_SubScores'!H14:K14)))</f>
        <v/>
      </c>
      <c r="R14" s="29">
        <f>IF(ISBLANK('02_Market_Inputs'!U14),AVERAGE('03_Factor_SubScores'!M14:P14),AVERAGE('03_Factor_SubScores'!M14:P14)*0.7+'02_Market_Inputs'!U14*0.3)</f>
        <v/>
      </c>
      <c r="S14" s="29">
        <f>MIN(100,MAX(0,AVERAGE('03_Factor_SubScores'!Q14:R14)+MIN(10,'06_MLR_Regression'!G14)+MIN(15,'07_VAR_Granger'!I14*3)))</f>
        <v/>
      </c>
      <c r="T14" s="29">
        <f>MIN(100,MAX(0,'03_Factor_SubScores'!S14*0.3+'03_Factor_SubScores'!T14*0.7))</f>
        <v/>
      </c>
      <c r="U14" s="29">
        <f>MIN(100,MAX(0,AVERAGE('03_Factor_SubScores'!U14:W14)))</f>
        <v/>
      </c>
    </row>
    <row r="15">
      <c r="A15" s="28">
        <f>'03_Factor_SubScores'!A15</f>
        <v/>
      </c>
      <c r="B15" s="28">
        <f>'03_Factor_SubScores'!B15</f>
        <v/>
      </c>
      <c r="C15" s="10">
        <f>ROUND(P15,2)</f>
        <v/>
      </c>
      <c r="D15" s="10">
        <f>ROUND(Q15,2)</f>
        <v/>
      </c>
      <c r="E15" s="10">
        <f>ROUND(R15,2)</f>
        <v/>
      </c>
      <c r="F15" s="10">
        <f>ROUND(S15,2)</f>
        <v/>
      </c>
      <c r="G15" s="10">
        <f>ROUND(T15,2)</f>
        <v/>
      </c>
      <c r="H15" s="10">
        <f>ROUND(U15,2)</f>
        <v/>
      </c>
      <c r="I15" s="10">
        <f>ROUND(P15*'01_Model_Config'!$C$6,2)</f>
        <v/>
      </c>
      <c r="J15" s="10">
        <f>ROUND(Q15*'01_Model_Config'!$C$7,2)</f>
        <v/>
      </c>
      <c r="K15" s="10">
        <f>ROUND(R15*'01_Model_Config'!$C$8,2)</f>
        <v/>
      </c>
      <c r="L15" s="10">
        <f>ROUND(S15*'01_Model_Config'!$C$9,2)</f>
        <v/>
      </c>
      <c r="M15" s="10">
        <f>ROUND(T15*'01_Model_Config'!$C$10,2)</f>
        <v/>
      </c>
      <c r="N15" s="10">
        <f>ROUND(U15*'01_Model_Config'!$C$11,2)</f>
        <v/>
      </c>
      <c r="O15" s="10">
        <f>SUM(I15:N15)</f>
        <v/>
      </c>
      <c r="P15" s="29">
        <f>AVERAGE('03_Factor_SubScores'!C15:G15)</f>
        <v/>
      </c>
      <c r="Q15" s="29">
        <f>IF('02_Market_Inputs'!O15&lt;-2,MIN(20,IF('02_Market_Inputs'!P15&gt;0,AVERAGE('03_Factor_SubScores'!H15:L15),AVERAGE('03_Factor_SubScores'!H15:K15))),IF('02_Market_Inputs'!P15&gt;0,AVERAGE('03_Factor_SubScores'!H15:L15),AVERAGE('03_Factor_SubScores'!H15:K15)))</f>
        <v/>
      </c>
      <c r="R15" s="29">
        <f>IF(ISBLANK('02_Market_Inputs'!U15),AVERAGE('03_Factor_SubScores'!M15:P15),AVERAGE('03_Factor_SubScores'!M15:P15)*0.7+'02_Market_Inputs'!U15*0.3)</f>
        <v/>
      </c>
      <c r="S15" s="29">
        <f>MIN(100,MAX(0,AVERAGE('03_Factor_SubScores'!Q15:R15)+MIN(10,'06_MLR_Regression'!G15)+MIN(15,'07_VAR_Granger'!I15*3)))</f>
        <v/>
      </c>
      <c r="T15" s="29">
        <f>MIN(100,MAX(0,'03_Factor_SubScores'!S15*0.3+'03_Factor_SubScores'!T15*0.7))</f>
        <v/>
      </c>
      <c r="U15" s="29">
        <f>MIN(100,MAX(0,AVERAGE('03_Factor_SubScores'!U15:W15)))</f>
        <v/>
      </c>
    </row>
    <row r="16">
      <c r="A16" s="28">
        <f>'03_Factor_SubScores'!A16</f>
        <v/>
      </c>
      <c r="B16" s="28">
        <f>'03_Factor_SubScores'!B16</f>
        <v/>
      </c>
      <c r="C16" s="10">
        <f>ROUND(P16,2)</f>
        <v/>
      </c>
      <c r="D16" s="10">
        <f>ROUND(Q16,2)</f>
        <v/>
      </c>
      <c r="E16" s="10">
        <f>ROUND(R16,2)</f>
        <v/>
      </c>
      <c r="F16" s="10">
        <f>ROUND(S16,2)</f>
        <v/>
      </c>
      <c r="G16" s="10">
        <f>ROUND(T16,2)</f>
        <v/>
      </c>
      <c r="H16" s="10">
        <f>ROUND(U16,2)</f>
        <v/>
      </c>
      <c r="I16" s="10">
        <f>ROUND(P16*'01_Model_Config'!$C$6,2)</f>
        <v/>
      </c>
      <c r="J16" s="10">
        <f>ROUND(Q16*'01_Model_Config'!$C$7,2)</f>
        <v/>
      </c>
      <c r="K16" s="10">
        <f>ROUND(R16*'01_Model_Config'!$C$8,2)</f>
        <v/>
      </c>
      <c r="L16" s="10">
        <f>ROUND(S16*'01_Model_Config'!$C$9,2)</f>
        <v/>
      </c>
      <c r="M16" s="10">
        <f>ROUND(T16*'01_Model_Config'!$C$10,2)</f>
        <v/>
      </c>
      <c r="N16" s="10">
        <f>ROUND(U16*'01_Model_Config'!$C$11,2)</f>
        <v/>
      </c>
      <c r="O16" s="10">
        <f>SUM(I16:N16)</f>
        <v/>
      </c>
      <c r="P16" s="29">
        <f>AVERAGE('03_Factor_SubScores'!C16:G16)</f>
        <v/>
      </c>
      <c r="Q16" s="29">
        <f>IF('02_Market_Inputs'!O16&lt;-2,MIN(20,IF('02_Market_Inputs'!P16&gt;0,AVERAGE('03_Factor_SubScores'!H16:L16),AVERAGE('03_Factor_SubScores'!H16:K16))),IF('02_Market_Inputs'!P16&gt;0,AVERAGE('03_Factor_SubScores'!H16:L16),AVERAGE('03_Factor_SubScores'!H16:K16)))</f>
        <v/>
      </c>
      <c r="R16" s="29">
        <f>IF(ISBLANK('02_Market_Inputs'!U16),AVERAGE('03_Factor_SubScores'!M16:P16),AVERAGE('03_Factor_SubScores'!M16:P16)*0.7+'02_Market_Inputs'!U16*0.3)</f>
        <v/>
      </c>
      <c r="S16" s="29">
        <f>MIN(100,MAX(0,AVERAGE('03_Factor_SubScores'!Q16:R16)+MIN(10,'06_MLR_Regression'!G16)+MIN(15,'07_VAR_Granger'!I16*3)))</f>
        <v/>
      </c>
      <c r="T16" s="29">
        <f>MIN(100,MAX(0,'03_Factor_SubScores'!S16*0.3+'03_Factor_SubScores'!T16*0.7))</f>
        <v/>
      </c>
      <c r="U16" s="29">
        <f>MIN(100,MAX(0,AVERAGE('03_Factor_SubScores'!U16:W16)))</f>
        <v/>
      </c>
    </row>
    <row r="17">
      <c r="A17" s="28">
        <f>'03_Factor_SubScores'!A17</f>
        <v/>
      </c>
      <c r="B17" s="28">
        <f>'03_Factor_SubScores'!B17</f>
        <v/>
      </c>
      <c r="C17" s="10">
        <f>ROUND(P17,2)</f>
        <v/>
      </c>
      <c r="D17" s="10">
        <f>ROUND(Q17,2)</f>
        <v/>
      </c>
      <c r="E17" s="10">
        <f>ROUND(R17,2)</f>
        <v/>
      </c>
      <c r="F17" s="10">
        <f>ROUND(S17,2)</f>
        <v/>
      </c>
      <c r="G17" s="10">
        <f>ROUND(T17,2)</f>
        <v/>
      </c>
      <c r="H17" s="10">
        <f>ROUND(U17,2)</f>
        <v/>
      </c>
      <c r="I17" s="10">
        <f>ROUND(P17*'01_Model_Config'!$C$6,2)</f>
        <v/>
      </c>
      <c r="J17" s="10">
        <f>ROUND(Q17*'01_Model_Config'!$C$7,2)</f>
        <v/>
      </c>
      <c r="K17" s="10">
        <f>ROUND(R17*'01_Model_Config'!$C$8,2)</f>
        <v/>
      </c>
      <c r="L17" s="10">
        <f>ROUND(S17*'01_Model_Config'!$C$9,2)</f>
        <v/>
      </c>
      <c r="M17" s="10">
        <f>ROUND(T17*'01_Model_Config'!$C$10,2)</f>
        <v/>
      </c>
      <c r="N17" s="10">
        <f>ROUND(U17*'01_Model_Config'!$C$11,2)</f>
        <v/>
      </c>
      <c r="O17" s="10">
        <f>SUM(I17:N17)</f>
        <v/>
      </c>
      <c r="P17" s="29">
        <f>AVERAGE('03_Factor_SubScores'!C17:G17)</f>
        <v/>
      </c>
      <c r="Q17" s="29">
        <f>IF('02_Market_Inputs'!O17&lt;-2,MIN(20,IF('02_Market_Inputs'!P17&gt;0,AVERAGE('03_Factor_SubScores'!H17:L17),AVERAGE('03_Factor_SubScores'!H17:K17))),IF('02_Market_Inputs'!P17&gt;0,AVERAGE('03_Factor_SubScores'!H17:L17),AVERAGE('03_Factor_SubScores'!H17:K17)))</f>
        <v/>
      </c>
      <c r="R17" s="29">
        <f>IF(ISBLANK('02_Market_Inputs'!U17),AVERAGE('03_Factor_SubScores'!M17:P17),AVERAGE('03_Factor_SubScores'!M17:P17)*0.7+'02_Market_Inputs'!U17*0.3)</f>
        <v/>
      </c>
      <c r="S17" s="29">
        <f>MIN(100,MAX(0,AVERAGE('03_Factor_SubScores'!Q17:R17)+MIN(10,'06_MLR_Regression'!G17)+MIN(15,'07_VAR_Granger'!I17*3)))</f>
        <v/>
      </c>
      <c r="T17" s="29">
        <f>MIN(100,MAX(0,'03_Factor_SubScores'!S17*0.3+'03_Factor_SubScores'!T17*0.7))</f>
        <v/>
      </c>
      <c r="U17" s="29">
        <f>MIN(100,MAX(0,AVERAGE('03_Factor_SubScores'!U17:W17)))</f>
        <v/>
      </c>
    </row>
    <row r="18">
      <c r="A18" s="28">
        <f>'03_Factor_SubScores'!A18</f>
        <v/>
      </c>
      <c r="B18" s="28">
        <f>'03_Factor_SubScores'!B18</f>
        <v/>
      </c>
      <c r="C18" s="10">
        <f>ROUND(P18,2)</f>
        <v/>
      </c>
      <c r="D18" s="10">
        <f>ROUND(Q18,2)</f>
        <v/>
      </c>
      <c r="E18" s="10">
        <f>ROUND(R18,2)</f>
        <v/>
      </c>
      <c r="F18" s="10">
        <f>ROUND(S18,2)</f>
        <v/>
      </c>
      <c r="G18" s="10">
        <f>ROUND(T18,2)</f>
        <v/>
      </c>
      <c r="H18" s="10">
        <f>ROUND(U18,2)</f>
        <v/>
      </c>
      <c r="I18" s="10">
        <f>ROUND(P18*'01_Model_Config'!$C$6,2)</f>
        <v/>
      </c>
      <c r="J18" s="10">
        <f>ROUND(Q18*'01_Model_Config'!$C$7,2)</f>
        <v/>
      </c>
      <c r="K18" s="10">
        <f>ROUND(R18*'01_Model_Config'!$C$8,2)</f>
        <v/>
      </c>
      <c r="L18" s="10">
        <f>ROUND(S18*'01_Model_Config'!$C$9,2)</f>
        <v/>
      </c>
      <c r="M18" s="10">
        <f>ROUND(T18*'01_Model_Config'!$C$10,2)</f>
        <v/>
      </c>
      <c r="N18" s="10">
        <f>ROUND(U18*'01_Model_Config'!$C$11,2)</f>
        <v/>
      </c>
      <c r="O18" s="10">
        <f>SUM(I18:N18)</f>
        <v/>
      </c>
      <c r="P18" s="29">
        <f>AVERAGE('03_Factor_SubScores'!C18:G18)</f>
        <v/>
      </c>
      <c r="Q18" s="29">
        <f>IF('02_Market_Inputs'!O18&lt;-2,MIN(20,IF('02_Market_Inputs'!P18&gt;0,AVERAGE('03_Factor_SubScores'!H18:L18),AVERAGE('03_Factor_SubScores'!H18:K18))),IF('02_Market_Inputs'!P18&gt;0,AVERAGE('03_Factor_SubScores'!H18:L18),AVERAGE('03_Factor_SubScores'!H18:K18)))</f>
        <v/>
      </c>
      <c r="R18" s="29">
        <f>IF(ISBLANK('02_Market_Inputs'!U18),AVERAGE('03_Factor_SubScores'!M18:P18),AVERAGE('03_Factor_SubScores'!M18:P18)*0.7+'02_Market_Inputs'!U18*0.3)</f>
        <v/>
      </c>
      <c r="S18" s="29">
        <f>MIN(100,MAX(0,AVERAGE('03_Factor_SubScores'!Q18:R18)+MIN(10,'06_MLR_Regression'!G18)+MIN(15,'07_VAR_Granger'!I18*3)))</f>
        <v/>
      </c>
      <c r="T18" s="29">
        <f>MIN(100,MAX(0,'03_Factor_SubScores'!S18*0.3+'03_Factor_SubScores'!T18*0.7))</f>
        <v/>
      </c>
      <c r="U18" s="29">
        <f>MIN(100,MAX(0,AVERAGE('03_Factor_SubScores'!U18:W18)))</f>
        <v/>
      </c>
    </row>
    <row r="19">
      <c r="A19" s="28">
        <f>'03_Factor_SubScores'!A19</f>
        <v/>
      </c>
      <c r="B19" s="28">
        <f>'03_Factor_SubScores'!B19</f>
        <v/>
      </c>
      <c r="C19" s="10">
        <f>ROUND(P19,2)</f>
        <v/>
      </c>
      <c r="D19" s="10">
        <f>ROUND(Q19,2)</f>
        <v/>
      </c>
      <c r="E19" s="10">
        <f>ROUND(R19,2)</f>
        <v/>
      </c>
      <c r="F19" s="10">
        <f>ROUND(S19,2)</f>
        <v/>
      </c>
      <c r="G19" s="10">
        <f>ROUND(T19,2)</f>
        <v/>
      </c>
      <c r="H19" s="10">
        <f>ROUND(U19,2)</f>
        <v/>
      </c>
      <c r="I19" s="10">
        <f>ROUND(P19*'01_Model_Config'!$C$6,2)</f>
        <v/>
      </c>
      <c r="J19" s="10">
        <f>ROUND(Q19*'01_Model_Config'!$C$7,2)</f>
        <v/>
      </c>
      <c r="K19" s="10">
        <f>ROUND(R19*'01_Model_Config'!$C$8,2)</f>
        <v/>
      </c>
      <c r="L19" s="10">
        <f>ROUND(S19*'01_Model_Config'!$C$9,2)</f>
        <v/>
      </c>
      <c r="M19" s="10">
        <f>ROUND(T19*'01_Model_Config'!$C$10,2)</f>
        <v/>
      </c>
      <c r="N19" s="10">
        <f>ROUND(U19*'01_Model_Config'!$C$11,2)</f>
        <v/>
      </c>
      <c r="O19" s="10">
        <f>SUM(I19:N19)</f>
        <v/>
      </c>
      <c r="P19" s="29">
        <f>AVERAGE('03_Factor_SubScores'!C19:G19)</f>
        <v/>
      </c>
      <c r="Q19" s="29">
        <f>IF('02_Market_Inputs'!O19&lt;-2,MIN(20,IF('02_Market_Inputs'!P19&gt;0,AVERAGE('03_Factor_SubScores'!H19:L19),AVERAGE('03_Factor_SubScores'!H19:K19))),IF('02_Market_Inputs'!P19&gt;0,AVERAGE('03_Factor_SubScores'!H19:L19),AVERAGE('03_Factor_SubScores'!H19:K19)))</f>
        <v/>
      </c>
      <c r="R19" s="29">
        <f>IF(ISBLANK('02_Market_Inputs'!U19),AVERAGE('03_Factor_SubScores'!M19:P19),AVERAGE('03_Factor_SubScores'!M19:P19)*0.7+'02_Market_Inputs'!U19*0.3)</f>
        <v/>
      </c>
      <c r="S19" s="29">
        <f>MIN(100,MAX(0,AVERAGE('03_Factor_SubScores'!Q19:R19)+MIN(10,'06_MLR_Regression'!G19)+MIN(15,'07_VAR_Granger'!I19*3)))</f>
        <v/>
      </c>
      <c r="T19" s="29">
        <f>MIN(100,MAX(0,'03_Factor_SubScores'!S19*0.3+'03_Factor_SubScores'!T19*0.7))</f>
        <v/>
      </c>
      <c r="U19" s="29">
        <f>MIN(100,MAX(0,AVERAGE('03_Factor_SubScores'!U19:W19)))</f>
        <v/>
      </c>
    </row>
    <row r="20">
      <c r="A20" s="28">
        <f>'03_Factor_SubScores'!A20</f>
        <v/>
      </c>
      <c r="B20" s="28">
        <f>'03_Factor_SubScores'!B20</f>
        <v/>
      </c>
      <c r="C20" s="10">
        <f>ROUND(P20,2)</f>
        <v/>
      </c>
      <c r="D20" s="10">
        <f>ROUND(Q20,2)</f>
        <v/>
      </c>
      <c r="E20" s="10">
        <f>ROUND(R20,2)</f>
        <v/>
      </c>
      <c r="F20" s="10">
        <f>ROUND(S20,2)</f>
        <v/>
      </c>
      <c r="G20" s="10">
        <f>ROUND(T20,2)</f>
        <v/>
      </c>
      <c r="H20" s="10">
        <f>ROUND(U20,2)</f>
        <v/>
      </c>
      <c r="I20" s="10">
        <f>ROUND(P20*'01_Model_Config'!$C$6,2)</f>
        <v/>
      </c>
      <c r="J20" s="10">
        <f>ROUND(Q20*'01_Model_Config'!$C$7,2)</f>
        <v/>
      </c>
      <c r="K20" s="10">
        <f>ROUND(R20*'01_Model_Config'!$C$8,2)</f>
        <v/>
      </c>
      <c r="L20" s="10">
        <f>ROUND(S20*'01_Model_Config'!$C$9,2)</f>
        <v/>
      </c>
      <c r="M20" s="10">
        <f>ROUND(T20*'01_Model_Config'!$C$10,2)</f>
        <v/>
      </c>
      <c r="N20" s="10">
        <f>ROUND(U20*'01_Model_Config'!$C$11,2)</f>
        <v/>
      </c>
      <c r="O20" s="10">
        <f>SUM(I20:N20)</f>
        <v/>
      </c>
      <c r="P20" s="29">
        <f>AVERAGE('03_Factor_SubScores'!C20:G20)</f>
        <v/>
      </c>
      <c r="Q20" s="29">
        <f>IF('02_Market_Inputs'!O20&lt;-2,MIN(20,IF('02_Market_Inputs'!P20&gt;0,AVERAGE('03_Factor_SubScores'!H20:L20),AVERAGE('03_Factor_SubScores'!H20:K20))),IF('02_Market_Inputs'!P20&gt;0,AVERAGE('03_Factor_SubScores'!H20:L20),AVERAGE('03_Factor_SubScores'!H20:K20)))</f>
        <v/>
      </c>
      <c r="R20" s="29">
        <f>IF(ISBLANK('02_Market_Inputs'!U20),AVERAGE('03_Factor_SubScores'!M20:P20),AVERAGE('03_Factor_SubScores'!M20:P20)*0.7+'02_Market_Inputs'!U20*0.3)</f>
        <v/>
      </c>
      <c r="S20" s="29">
        <f>MIN(100,MAX(0,AVERAGE('03_Factor_SubScores'!Q20:R20)+MIN(10,'06_MLR_Regression'!G20)+MIN(15,'07_VAR_Granger'!I20*3)))</f>
        <v/>
      </c>
      <c r="T20" s="29">
        <f>MIN(100,MAX(0,'03_Factor_SubScores'!S20*0.3+'03_Factor_SubScores'!T20*0.7))</f>
        <v/>
      </c>
      <c r="U20" s="29">
        <f>MIN(100,MAX(0,AVERAGE('03_Factor_SubScores'!U20:W20)))</f>
        <v/>
      </c>
    </row>
    <row r="21">
      <c r="A21" s="28">
        <f>'03_Factor_SubScores'!A21</f>
        <v/>
      </c>
      <c r="B21" s="28">
        <f>'03_Factor_SubScores'!B21</f>
        <v/>
      </c>
      <c r="C21" s="10">
        <f>ROUND(P21,2)</f>
        <v/>
      </c>
      <c r="D21" s="10">
        <f>ROUND(Q21,2)</f>
        <v/>
      </c>
      <c r="E21" s="10">
        <f>ROUND(R21,2)</f>
        <v/>
      </c>
      <c r="F21" s="10">
        <f>ROUND(S21,2)</f>
        <v/>
      </c>
      <c r="G21" s="10">
        <f>ROUND(T21,2)</f>
        <v/>
      </c>
      <c r="H21" s="10">
        <f>ROUND(U21,2)</f>
        <v/>
      </c>
      <c r="I21" s="10">
        <f>ROUND(P21*'01_Model_Config'!$C$6,2)</f>
        <v/>
      </c>
      <c r="J21" s="10">
        <f>ROUND(Q21*'01_Model_Config'!$C$7,2)</f>
        <v/>
      </c>
      <c r="K21" s="10">
        <f>ROUND(R21*'01_Model_Config'!$C$8,2)</f>
        <v/>
      </c>
      <c r="L21" s="10">
        <f>ROUND(S21*'01_Model_Config'!$C$9,2)</f>
        <v/>
      </c>
      <c r="M21" s="10">
        <f>ROUND(T21*'01_Model_Config'!$C$10,2)</f>
        <v/>
      </c>
      <c r="N21" s="10">
        <f>ROUND(U21*'01_Model_Config'!$C$11,2)</f>
        <v/>
      </c>
      <c r="O21" s="10">
        <f>SUM(I21:N21)</f>
        <v/>
      </c>
      <c r="P21" s="29">
        <f>AVERAGE('03_Factor_SubScores'!C21:G21)</f>
        <v/>
      </c>
      <c r="Q21" s="29">
        <f>IF('02_Market_Inputs'!O21&lt;-2,MIN(20,IF('02_Market_Inputs'!P21&gt;0,AVERAGE('03_Factor_SubScores'!H21:L21),AVERAGE('03_Factor_SubScores'!H21:K21))),IF('02_Market_Inputs'!P21&gt;0,AVERAGE('03_Factor_SubScores'!H21:L21),AVERAGE('03_Factor_SubScores'!H21:K21)))</f>
        <v/>
      </c>
      <c r="R21" s="29">
        <f>IF(ISBLANK('02_Market_Inputs'!U21),AVERAGE('03_Factor_SubScores'!M21:P21),AVERAGE('03_Factor_SubScores'!M21:P21)*0.7+'02_Market_Inputs'!U21*0.3)</f>
        <v/>
      </c>
      <c r="S21" s="29">
        <f>MIN(100,MAX(0,AVERAGE('03_Factor_SubScores'!Q21:R21)+MIN(10,'06_MLR_Regression'!G21)+MIN(15,'07_VAR_Granger'!I21*3)))</f>
        <v/>
      </c>
      <c r="T21" s="29">
        <f>MIN(100,MAX(0,'03_Factor_SubScores'!S21*0.3+'03_Factor_SubScores'!T21*0.7))</f>
        <v/>
      </c>
      <c r="U21" s="29">
        <f>MIN(100,MAX(0,AVERAGE('03_Factor_SubScores'!U21:W21)))</f>
        <v/>
      </c>
    </row>
    <row r="22">
      <c r="A22" s="28">
        <f>'03_Factor_SubScores'!A22</f>
        <v/>
      </c>
      <c r="B22" s="28">
        <f>'03_Factor_SubScores'!B22</f>
        <v/>
      </c>
      <c r="C22" s="10">
        <f>ROUND(P22,2)</f>
        <v/>
      </c>
      <c r="D22" s="10">
        <f>ROUND(Q22,2)</f>
        <v/>
      </c>
      <c r="E22" s="10">
        <f>ROUND(R22,2)</f>
        <v/>
      </c>
      <c r="F22" s="10">
        <f>ROUND(S22,2)</f>
        <v/>
      </c>
      <c r="G22" s="10">
        <f>ROUND(T22,2)</f>
        <v/>
      </c>
      <c r="H22" s="10">
        <f>ROUND(U22,2)</f>
        <v/>
      </c>
      <c r="I22" s="10">
        <f>ROUND(P22*'01_Model_Config'!$C$6,2)</f>
        <v/>
      </c>
      <c r="J22" s="10">
        <f>ROUND(Q22*'01_Model_Config'!$C$7,2)</f>
        <v/>
      </c>
      <c r="K22" s="10">
        <f>ROUND(R22*'01_Model_Config'!$C$8,2)</f>
        <v/>
      </c>
      <c r="L22" s="10">
        <f>ROUND(S22*'01_Model_Config'!$C$9,2)</f>
        <v/>
      </c>
      <c r="M22" s="10">
        <f>ROUND(T22*'01_Model_Config'!$C$10,2)</f>
        <v/>
      </c>
      <c r="N22" s="10">
        <f>ROUND(U22*'01_Model_Config'!$C$11,2)</f>
        <v/>
      </c>
      <c r="O22" s="10">
        <f>SUM(I22:N22)</f>
        <v/>
      </c>
      <c r="P22" s="29">
        <f>AVERAGE('03_Factor_SubScores'!C22:G22)</f>
        <v/>
      </c>
      <c r="Q22" s="29">
        <f>IF('02_Market_Inputs'!O22&lt;-2,MIN(20,IF('02_Market_Inputs'!P22&gt;0,AVERAGE('03_Factor_SubScores'!H22:L22),AVERAGE('03_Factor_SubScores'!H22:K22))),IF('02_Market_Inputs'!P22&gt;0,AVERAGE('03_Factor_SubScores'!H22:L22),AVERAGE('03_Factor_SubScores'!H22:K22)))</f>
        <v/>
      </c>
      <c r="R22" s="29">
        <f>IF(ISBLANK('02_Market_Inputs'!U22),AVERAGE('03_Factor_SubScores'!M22:P22),AVERAGE('03_Factor_SubScores'!M22:P22)*0.7+'02_Market_Inputs'!U22*0.3)</f>
        <v/>
      </c>
      <c r="S22" s="29">
        <f>MIN(100,MAX(0,AVERAGE('03_Factor_SubScores'!Q22:R22)+MIN(10,'06_MLR_Regression'!G22)+MIN(15,'07_VAR_Granger'!I22*3)))</f>
        <v/>
      </c>
      <c r="T22" s="29">
        <f>MIN(100,MAX(0,'03_Factor_SubScores'!S22*0.3+'03_Factor_SubScores'!T22*0.7))</f>
        <v/>
      </c>
      <c r="U22" s="29">
        <f>MIN(100,MAX(0,AVERAGE('03_Factor_SubScores'!U22:W22)))</f>
        <v/>
      </c>
    </row>
    <row r="23">
      <c r="A23" s="28">
        <f>'03_Factor_SubScores'!A23</f>
        <v/>
      </c>
      <c r="B23" s="28">
        <f>'03_Factor_SubScores'!B23</f>
        <v/>
      </c>
      <c r="C23" s="10">
        <f>ROUND(P23,2)</f>
        <v/>
      </c>
      <c r="D23" s="10">
        <f>ROUND(Q23,2)</f>
        <v/>
      </c>
      <c r="E23" s="10">
        <f>ROUND(R23,2)</f>
        <v/>
      </c>
      <c r="F23" s="10">
        <f>ROUND(S23,2)</f>
        <v/>
      </c>
      <c r="G23" s="10">
        <f>ROUND(T23,2)</f>
        <v/>
      </c>
      <c r="H23" s="10">
        <f>ROUND(U23,2)</f>
        <v/>
      </c>
      <c r="I23" s="10">
        <f>ROUND(P23*'01_Model_Config'!$C$6,2)</f>
        <v/>
      </c>
      <c r="J23" s="10">
        <f>ROUND(Q23*'01_Model_Config'!$C$7,2)</f>
        <v/>
      </c>
      <c r="K23" s="10">
        <f>ROUND(R23*'01_Model_Config'!$C$8,2)</f>
        <v/>
      </c>
      <c r="L23" s="10">
        <f>ROUND(S23*'01_Model_Config'!$C$9,2)</f>
        <v/>
      </c>
      <c r="M23" s="10">
        <f>ROUND(T23*'01_Model_Config'!$C$10,2)</f>
        <v/>
      </c>
      <c r="N23" s="10">
        <f>ROUND(U23*'01_Model_Config'!$C$11,2)</f>
        <v/>
      </c>
      <c r="O23" s="10">
        <f>SUM(I23:N23)</f>
        <v/>
      </c>
      <c r="P23" s="29">
        <f>AVERAGE('03_Factor_SubScores'!C23:G23)</f>
        <v/>
      </c>
      <c r="Q23" s="29">
        <f>IF('02_Market_Inputs'!O23&lt;-2,MIN(20,IF('02_Market_Inputs'!P23&gt;0,AVERAGE('03_Factor_SubScores'!H23:L23),AVERAGE('03_Factor_SubScores'!H23:K23))),IF('02_Market_Inputs'!P23&gt;0,AVERAGE('03_Factor_SubScores'!H23:L23),AVERAGE('03_Factor_SubScores'!H23:K23)))</f>
        <v/>
      </c>
      <c r="R23" s="29">
        <f>IF(ISBLANK('02_Market_Inputs'!U23),AVERAGE('03_Factor_SubScores'!M23:P23),AVERAGE('03_Factor_SubScores'!M23:P23)*0.7+'02_Market_Inputs'!U23*0.3)</f>
        <v/>
      </c>
      <c r="S23" s="29">
        <f>MIN(100,MAX(0,AVERAGE('03_Factor_SubScores'!Q23:R23)+MIN(10,'06_MLR_Regression'!G23)+MIN(15,'07_VAR_Granger'!I23*3)))</f>
        <v/>
      </c>
      <c r="T23" s="29">
        <f>MIN(100,MAX(0,'03_Factor_SubScores'!S23*0.3+'03_Factor_SubScores'!T23*0.7))</f>
        <v/>
      </c>
      <c r="U23" s="29">
        <f>MIN(100,MAX(0,AVERAGE('03_Factor_SubScores'!U23:W23)))</f>
        <v/>
      </c>
    </row>
    <row r="24">
      <c r="A24" s="28">
        <f>'03_Factor_SubScores'!A24</f>
        <v/>
      </c>
      <c r="B24" s="28">
        <f>'03_Factor_SubScores'!B24</f>
        <v/>
      </c>
      <c r="C24" s="10">
        <f>ROUND(P24,2)</f>
        <v/>
      </c>
      <c r="D24" s="10">
        <f>ROUND(Q24,2)</f>
        <v/>
      </c>
      <c r="E24" s="10">
        <f>ROUND(R24,2)</f>
        <v/>
      </c>
      <c r="F24" s="10">
        <f>ROUND(S24,2)</f>
        <v/>
      </c>
      <c r="G24" s="10">
        <f>ROUND(T24,2)</f>
        <v/>
      </c>
      <c r="H24" s="10">
        <f>ROUND(U24,2)</f>
        <v/>
      </c>
      <c r="I24" s="10">
        <f>ROUND(P24*'01_Model_Config'!$C$6,2)</f>
        <v/>
      </c>
      <c r="J24" s="10">
        <f>ROUND(Q24*'01_Model_Config'!$C$7,2)</f>
        <v/>
      </c>
      <c r="K24" s="10">
        <f>ROUND(R24*'01_Model_Config'!$C$8,2)</f>
        <v/>
      </c>
      <c r="L24" s="10">
        <f>ROUND(S24*'01_Model_Config'!$C$9,2)</f>
        <v/>
      </c>
      <c r="M24" s="10">
        <f>ROUND(T24*'01_Model_Config'!$C$10,2)</f>
        <v/>
      </c>
      <c r="N24" s="10">
        <f>ROUND(U24*'01_Model_Config'!$C$11,2)</f>
        <v/>
      </c>
      <c r="O24" s="10">
        <f>SUM(I24:N24)</f>
        <v/>
      </c>
      <c r="P24" s="29">
        <f>AVERAGE('03_Factor_SubScores'!C24:G24)</f>
        <v/>
      </c>
      <c r="Q24" s="29">
        <f>IF('02_Market_Inputs'!O24&lt;-2,MIN(20,IF('02_Market_Inputs'!P24&gt;0,AVERAGE('03_Factor_SubScores'!H24:L24),AVERAGE('03_Factor_SubScores'!H24:K24))),IF('02_Market_Inputs'!P24&gt;0,AVERAGE('03_Factor_SubScores'!H24:L24),AVERAGE('03_Factor_SubScores'!H24:K24)))</f>
        <v/>
      </c>
      <c r="R24" s="29">
        <f>IF(ISBLANK('02_Market_Inputs'!U24),AVERAGE('03_Factor_SubScores'!M24:P24),AVERAGE('03_Factor_SubScores'!M24:P24)*0.7+'02_Market_Inputs'!U24*0.3)</f>
        <v/>
      </c>
      <c r="S24" s="29">
        <f>MIN(100,MAX(0,AVERAGE('03_Factor_SubScores'!Q24:R24)+MIN(10,'06_MLR_Regression'!G24)+MIN(15,'07_VAR_Granger'!I24*3)))</f>
        <v/>
      </c>
      <c r="T24" s="29">
        <f>MIN(100,MAX(0,'03_Factor_SubScores'!S24*0.3+'03_Factor_SubScores'!T24*0.7))</f>
        <v/>
      </c>
      <c r="U24" s="29">
        <f>MIN(100,MAX(0,AVERAGE('03_Factor_SubScores'!U24:W24)))</f>
        <v/>
      </c>
    </row>
    <row r="25">
      <c r="A25" s="28">
        <f>'03_Factor_SubScores'!A25</f>
        <v/>
      </c>
      <c r="B25" s="28">
        <f>'03_Factor_SubScores'!B25</f>
        <v/>
      </c>
      <c r="C25" s="10">
        <f>ROUND(P25,2)</f>
        <v/>
      </c>
      <c r="D25" s="10">
        <f>ROUND(Q25,2)</f>
        <v/>
      </c>
      <c r="E25" s="10">
        <f>ROUND(R25,2)</f>
        <v/>
      </c>
      <c r="F25" s="10">
        <f>ROUND(S25,2)</f>
        <v/>
      </c>
      <c r="G25" s="10">
        <f>ROUND(T25,2)</f>
        <v/>
      </c>
      <c r="H25" s="10">
        <f>ROUND(U25,2)</f>
        <v/>
      </c>
      <c r="I25" s="10">
        <f>ROUND(P25*'01_Model_Config'!$C$6,2)</f>
        <v/>
      </c>
      <c r="J25" s="10">
        <f>ROUND(Q25*'01_Model_Config'!$C$7,2)</f>
        <v/>
      </c>
      <c r="K25" s="10">
        <f>ROUND(R25*'01_Model_Config'!$C$8,2)</f>
        <v/>
      </c>
      <c r="L25" s="10">
        <f>ROUND(S25*'01_Model_Config'!$C$9,2)</f>
        <v/>
      </c>
      <c r="M25" s="10">
        <f>ROUND(T25*'01_Model_Config'!$C$10,2)</f>
        <v/>
      </c>
      <c r="N25" s="10">
        <f>ROUND(U25*'01_Model_Config'!$C$11,2)</f>
        <v/>
      </c>
      <c r="O25" s="10">
        <f>SUM(I25:N25)</f>
        <v/>
      </c>
      <c r="P25" s="29">
        <f>AVERAGE('03_Factor_SubScores'!C25:G25)</f>
        <v/>
      </c>
      <c r="Q25" s="29">
        <f>IF('02_Market_Inputs'!O25&lt;-2,MIN(20,IF('02_Market_Inputs'!P25&gt;0,AVERAGE('03_Factor_SubScores'!H25:L25),AVERAGE('03_Factor_SubScores'!H25:K25))),IF('02_Market_Inputs'!P25&gt;0,AVERAGE('03_Factor_SubScores'!H25:L25),AVERAGE('03_Factor_SubScores'!H25:K25)))</f>
        <v/>
      </c>
      <c r="R25" s="29">
        <f>IF(ISBLANK('02_Market_Inputs'!U25),AVERAGE('03_Factor_SubScores'!M25:P25),AVERAGE('03_Factor_SubScores'!M25:P25)*0.7+'02_Market_Inputs'!U25*0.3)</f>
        <v/>
      </c>
      <c r="S25" s="29">
        <f>MIN(100,MAX(0,AVERAGE('03_Factor_SubScores'!Q25:R25)+MIN(10,'06_MLR_Regression'!G25)+MIN(15,'07_VAR_Granger'!I25*3)))</f>
        <v/>
      </c>
      <c r="T25" s="29">
        <f>MIN(100,MAX(0,'03_Factor_SubScores'!S25*0.3+'03_Factor_SubScores'!T25*0.7))</f>
        <v/>
      </c>
      <c r="U25" s="29">
        <f>MIN(100,MAX(0,AVERAGE('03_Factor_SubScores'!U25:W25)))</f>
        <v/>
      </c>
    </row>
    <row r="26">
      <c r="A26" s="28">
        <f>'03_Factor_SubScores'!A26</f>
        <v/>
      </c>
      <c r="B26" s="28">
        <f>'03_Factor_SubScores'!B26</f>
        <v/>
      </c>
      <c r="C26" s="10">
        <f>ROUND(P26,2)</f>
        <v/>
      </c>
      <c r="D26" s="10">
        <f>ROUND(Q26,2)</f>
        <v/>
      </c>
      <c r="E26" s="10">
        <f>ROUND(R26,2)</f>
        <v/>
      </c>
      <c r="F26" s="10">
        <f>ROUND(S26,2)</f>
        <v/>
      </c>
      <c r="G26" s="10">
        <f>ROUND(T26,2)</f>
        <v/>
      </c>
      <c r="H26" s="10">
        <f>ROUND(U26,2)</f>
        <v/>
      </c>
      <c r="I26" s="10">
        <f>ROUND(P26*'01_Model_Config'!$C$6,2)</f>
        <v/>
      </c>
      <c r="J26" s="10">
        <f>ROUND(Q26*'01_Model_Config'!$C$7,2)</f>
        <v/>
      </c>
      <c r="K26" s="10">
        <f>ROUND(R26*'01_Model_Config'!$C$8,2)</f>
        <v/>
      </c>
      <c r="L26" s="10">
        <f>ROUND(S26*'01_Model_Config'!$C$9,2)</f>
        <v/>
      </c>
      <c r="M26" s="10">
        <f>ROUND(T26*'01_Model_Config'!$C$10,2)</f>
        <v/>
      </c>
      <c r="N26" s="10">
        <f>ROUND(U26*'01_Model_Config'!$C$11,2)</f>
        <v/>
      </c>
      <c r="O26" s="10">
        <f>SUM(I26:N26)</f>
        <v/>
      </c>
      <c r="P26" s="29">
        <f>AVERAGE('03_Factor_SubScores'!C26:G26)</f>
        <v/>
      </c>
      <c r="Q26" s="29">
        <f>IF('02_Market_Inputs'!O26&lt;-2,MIN(20,IF('02_Market_Inputs'!P26&gt;0,AVERAGE('03_Factor_SubScores'!H26:L26),AVERAGE('03_Factor_SubScores'!H26:K26))),IF('02_Market_Inputs'!P26&gt;0,AVERAGE('03_Factor_SubScores'!H26:L26),AVERAGE('03_Factor_SubScores'!H26:K26)))</f>
        <v/>
      </c>
      <c r="R26" s="29">
        <f>IF(ISBLANK('02_Market_Inputs'!U26),AVERAGE('03_Factor_SubScores'!M26:P26),AVERAGE('03_Factor_SubScores'!M26:P26)*0.7+'02_Market_Inputs'!U26*0.3)</f>
        <v/>
      </c>
      <c r="S26" s="29">
        <f>MIN(100,MAX(0,AVERAGE('03_Factor_SubScores'!Q26:R26)+MIN(10,'06_MLR_Regression'!G26)+MIN(15,'07_VAR_Granger'!I26*3)))</f>
        <v/>
      </c>
      <c r="T26" s="29">
        <f>MIN(100,MAX(0,'03_Factor_SubScores'!S26*0.3+'03_Factor_SubScores'!T26*0.7))</f>
        <v/>
      </c>
      <c r="U26" s="29">
        <f>MIN(100,MAX(0,AVERAGE('03_Factor_SubScores'!U26:W26)))</f>
        <v/>
      </c>
    </row>
    <row r="27">
      <c r="A27" s="28">
        <f>'03_Factor_SubScores'!A27</f>
        <v/>
      </c>
      <c r="B27" s="28">
        <f>'03_Factor_SubScores'!B27</f>
        <v/>
      </c>
      <c r="C27" s="10">
        <f>ROUND(P27,2)</f>
        <v/>
      </c>
      <c r="D27" s="10">
        <f>ROUND(Q27,2)</f>
        <v/>
      </c>
      <c r="E27" s="10">
        <f>ROUND(R27,2)</f>
        <v/>
      </c>
      <c r="F27" s="10">
        <f>ROUND(S27,2)</f>
        <v/>
      </c>
      <c r="G27" s="10">
        <f>ROUND(T27,2)</f>
        <v/>
      </c>
      <c r="H27" s="10">
        <f>ROUND(U27,2)</f>
        <v/>
      </c>
      <c r="I27" s="10">
        <f>ROUND(P27*'01_Model_Config'!$C$6,2)</f>
        <v/>
      </c>
      <c r="J27" s="10">
        <f>ROUND(Q27*'01_Model_Config'!$C$7,2)</f>
        <v/>
      </c>
      <c r="K27" s="10">
        <f>ROUND(R27*'01_Model_Config'!$C$8,2)</f>
        <v/>
      </c>
      <c r="L27" s="10">
        <f>ROUND(S27*'01_Model_Config'!$C$9,2)</f>
        <v/>
      </c>
      <c r="M27" s="10">
        <f>ROUND(T27*'01_Model_Config'!$C$10,2)</f>
        <v/>
      </c>
      <c r="N27" s="10">
        <f>ROUND(U27*'01_Model_Config'!$C$11,2)</f>
        <v/>
      </c>
      <c r="O27" s="10">
        <f>SUM(I27:N27)</f>
        <v/>
      </c>
      <c r="P27" s="29">
        <f>AVERAGE('03_Factor_SubScores'!C27:G27)</f>
        <v/>
      </c>
      <c r="Q27" s="29">
        <f>IF('02_Market_Inputs'!O27&lt;-2,MIN(20,IF('02_Market_Inputs'!P27&gt;0,AVERAGE('03_Factor_SubScores'!H27:L27),AVERAGE('03_Factor_SubScores'!H27:K27))),IF('02_Market_Inputs'!P27&gt;0,AVERAGE('03_Factor_SubScores'!H27:L27),AVERAGE('03_Factor_SubScores'!H27:K27)))</f>
        <v/>
      </c>
      <c r="R27" s="29">
        <f>IF(ISBLANK('02_Market_Inputs'!U27),AVERAGE('03_Factor_SubScores'!M27:P27),AVERAGE('03_Factor_SubScores'!M27:P27)*0.7+'02_Market_Inputs'!U27*0.3)</f>
        <v/>
      </c>
      <c r="S27" s="29">
        <f>MIN(100,MAX(0,AVERAGE('03_Factor_SubScores'!Q27:R27)+MIN(10,'06_MLR_Regression'!G27)+MIN(15,'07_VAR_Granger'!I27*3)))</f>
        <v/>
      </c>
      <c r="T27" s="29">
        <f>MIN(100,MAX(0,'03_Factor_SubScores'!S27*0.3+'03_Factor_SubScores'!T27*0.7))</f>
        <v/>
      </c>
      <c r="U27" s="29">
        <f>MIN(100,MAX(0,AVERAGE('03_Factor_SubScores'!U27:W27)))</f>
        <v/>
      </c>
    </row>
    <row r="28">
      <c r="A28" s="28">
        <f>'03_Factor_SubScores'!A28</f>
        <v/>
      </c>
      <c r="B28" s="28">
        <f>'03_Factor_SubScores'!B28</f>
        <v/>
      </c>
      <c r="C28" s="10">
        <f>ROUND(P28,2)</f>
        <v/>
      </c>
      <c r="D28" s="10">
        <f>ROUND(Q28,2)</f>
        <v/>
      </c>
      <c r="E28" s="10">
        <f>ROUND(R28,2)</f>
        <v/>
      </c>
      <c r="F28" s="10">
        <f>ROUND(S28,2)</f>
        <v/>
      </c>
      <c r="G28" s="10">
        <f>ROUND(T28,2)</f>
        <v/>
      </c>
      <c r="H28" s="10">
        <f>ROUND(U28,2)</f>
        <v/>
      </c>
      <c r="I28" s="10">
        <f>ROUND(P28*'01_Model_Config'!$C$6,2)</f>
        <v/>
      </c>
      <c r="J28" s="10">
        <f>ROUND(Q28*'01_Model_Config'!$C$7,2)</f>
        <v/>
      </c>
      <c r="K28" s="10">
        <f>ROUND(R28*'01_Model_Config'!$C$8,2)</f>
        <v/>
      </c>
      <c r="L28" s="10">
        <f>ROUND(S28*'01_Model_Config'!$C$9,2)</f>
        <v/>
      </c>
      <c r="M28" s="10">
        <f>ROUND(T28*'01_Model_Config'!$C$10,2)</f>
        <v/>
      </c>
      <c r="N28" s="10">
        <f>ROUND(U28*'01_Model_Config'!$C$11,2)</f>
        <v/>
      </c>
      <c r="O28" s="10">
        <f>SUM(I28:N28)</f>
        <v/>
      </c>
      <c r="P28" s="29">
        <f>AVERAGE('03_Factor_SubScores'!C28:G28)</f>
        <v/>
      </c>
      <c r="Q28" s="29">
        <f>IF('02_Market_Inputs'!O28&lt;-2,MIN(20,IF('02_Market_Inputs'!P28&gt;0,AVERAGE('03_Factor_SubScores'!H28:L28),AVERAGE('03_Factor_SubScores'!H28:K28))),IF('02_Market_Inputs'!P28&gt;0,AVERAGE('03_Factor_SubScores'!H28:L28),AVERAGE('03_Factor_SubScores'!H28:K28)))</f>
        <v/>
      </c>
      <c r="R28" s="29">
        <f>IF(ISBLANK('02_Market_Inputs'!U28),AVERAGE('03_Factor_SubScores'!M28:P28),AVERAGE('03_Factor_SubScores'!M28:P28)*0.7+'02_Market_Inputs'!U28*0.3)</f>
        <v/>
      </c>
      <c r="S28" s="29">
        <f>MIN(100,MAX(0,AVERAGE('03_Factor_SubScores'!Q28:R28)+MIN(10,'06_MLR_Regression'!G28)+MIN(15,'07_VAR_Granger'!I28*3)))</f>
        <v/>
      </c>
      <c r="T28" s="29">
        <f>MIN(100,MAX(0,'03_Factor_SubScores'!S28*0.3+'03_Factor_SubScores'!T28*0.7))</f>
        <v/>
      </c>
      <c r="U28" s="29">
        <f>MIN(100,MAX(0,AVERAGE('03_Factor_SubScores'!U28:W28)))</f>
        <v/>
      </c>
    </row>
  </sheetData>
  <pageMargins left="0.75" right="0.75" top="1" bottom="1" header="0.5" footer="0.5"/>
  <pageSetup fitToHeight="0" fitToWidth="1"/>
</worksheet>
</file>

<file path=xl/worksheets/sheet6.xml><?xml version="1.0" encoding="utf-8"?>
<worksheet xmlns="http://schemas.openxmlformats.org/spreadsheetml/2006/main">
  <sheetPr>
    <tabColor rgb="00B91C1C"/>
    <outlinePr summaryBelow="1" summaryRight="1"/>
    <pageSetUpPr fitToPage="1"/>
  </sheetPr>
  <dimension ref="A1:S2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13" customWidth="1" min="3" max="3"/>
    <col width="11" customWidth="1" min="4" max="4"/>
    <col width="11" customWidth="1" min="5" max="5"/>
    <col width="11" customWidth="1" min="6" max="6"/>
    <col width="12" customWidth="1" min="7" max="7"/>
    <col width="11" customWidth="1" min="8" max="8"/>
    <col width="11" customWidth="1" min="9" max="9"/>
    <col width="18" customWidth="1" min="10" max="10"/>
    <col width="18" customWidth="1" min="11" max="11"/>
    <col width="22" customWidth="1" min="12" max="12"/>
    <col width="12" customWidth="1" min="13" max="13"/>
    <col width="14" customWidth="1" min="14" max="14"/>
    <col width="12" customWidth="1" min="15" max="15"/>
    <col width="18" customWidth="1" min="16" max="16"/>
    <col width="11" customWidth="1" min="17" max="17"/>
    <col width="11" customWidth="1" min="18" max="18"/>
    <col width="22" customWidth="1" min="19" max="19"/>
  </cols>
  <sheetData>
    <row r="1">
      <c r="A1" s="1" t="inlineStr">
        <is>
          <t>TWO-TIER COMPOSITE &amp; EXPANDING CALIBRATION (v2)</t>
        </is>
      </c>
    </row>
    <row r="2">
      <c r="A2" s="2" t="inlineStr">
        <is>
          <t>N&lt;4: calibrated = raw | N≥4: σeff=MAX(σprior, min_std)·z capped ±z_cap·cal = clip(50+15×z_eff, Raw∓max_dist, 0..100); prior quarters only</t>
        </is>
      </c>
    </row>
    <row r="3"/>
    <row r="4" ht="32" customHeight="1">
      <c r="A4" s="18" t="inlineStr">
        <is>
          <t>Quarter</t>
        </is>
      </c>
      <c r="B4" s="18" t="inlineStr">
        <is>
          <t>As-of Date</t>
        </is>
      </c>
      <c r="C4" s="18" t="inlineStr">
        <is>
          <t>As-of Close</t>
        </is>
      </c>
      <c r="D4" s="18" t="inlineStr">
        <is>
          <t>Raw Score</t>
        </is>
      </c>
      <c r="E4" s="18" t="inlineStr">
        <is>
          <t>Raw Label</t>
        </is>
      </c>
      <c r="F4" s="18" t="inlineStr">
        <is>
          <t>Prior N</t>
        </is>
      </c>
      <c r="G4" s="18" t="inlineStr">
        <is>
          <t>Prior Mean</t>
        </is>
      </c>
      <c r="H4" s="18" t="inlineStr">
        <is>
          <t>Prior Std</t>
        </is>
      </c>
      <c r="I4" s="18" t="inlineStr">
        <is>
          <t>Z-Score</t>
        </is>
      </c>
      <c r="J4" s="18" t="inlineStr">
        <is>
          <t>Calibrated Score</t>
        </is>
      </c>
      <c r="K4" s="18" t="inlineStr">
        <is>
          <t>Calibrated Label</t>
        </is>
      </c>
      <c r="L4" s="18" t="inlineStr">
        <is>
          <t>Suggested Allocation</t>
        </is>
      </c>
      <c r="M4" s="18" t="inlineStr">
        <is>
          <t>Pillar Std</t>
        </is>
      </c>
      <c r="N4" s="18" t="inlineStr">
        <is>
          <t>Pillar Range</t>
        </is>
      </c>
      <c r="O4" s="18" t="inlineStr">
        <is>
          <t>Dispersion</t>
        </is>
      </c>
      <c r="P4" s="18" t="inlineStr">
        <is>
          <t>Percentile Label</t>
        </is>
      </c>
      <c r="Q4" s="18" t="inlineStr">
        <is>
          <t>P15 Prior</t>
        </is>
      </c>
      <c r="R4" s="18" t="inlineStr">
        <is>
          <t>P85 Prior</t>
        </is>
      </c>
      <c r="S4" s="18" t="inlineStr">
        <is>
          <t>Rounded Raw Rank Key</t>
        </is>
      </c>
    </row>
    <row r="5">
      <c r="A5" s="28">
        <f>'04_Pillar_Calculation'!A5</f>
        <v/>
      </c>
      <c r="B5" s="28">
        <f>'04_Pillar_Calculation'!B5</f>
        <v/>
      </c>
      <c r="C5" s="30">
        <f>'02_Market_Inputs'!C5</f>
        <v/>
      </c>
      <c r="D5" s="10">
        <f>'04_Pillar_Calculation'!O5</f>
        <v/>
      </c>
      <c r="E5" s="12">
        <f>IF(D5&gt;='01_Model_Config'!$A$16,'01_Model_Config'!$C$16,IF(D5&gt;='01_Model_Config'!$A$17,'01_Model_Config'!$C$17,IF(D5&gt;='01_Model_Config'!$A$18,'01_Model_Config'!$C$18,IF(D5&gt;='01_Model_Config'!$A$19,'01_Model_Config'!$C$19,'01_Model_Config'!$C$20))))</f>
        <v/>
      </c>
      <c r="F5" s="12">
        <f>ROWS($D$5:D5)-1</f>
        <v/>
      </c>
      <c r="G5" s="10">
        <f>IF(F5&lt;'01_Model_Config'!$B$26,"","")</f>
        <v/>
      </c>
      <c r="H5" s="10">
        <f>IF(F5&lt;'01_Model_Config'!$B$26,"","")</f>
        <v/>
      </c>
      <c r="I5" s="31">
        <f>IF(F5&lt;'01_Model_Config'!$B$26,"",MIN('01_Model_Config'!$B$41,MAX(-'01_Model_Config'!$B$41,(D5-G5)/MAX(H5,'01_Model_Config'!$B$40))))</f>
        <v/>
      </c>
      <c r="J5" s="10">
        <f>ROUND(IF(F5&lt;'01_Model_Config'!$B$26,D5,MIN('01_Model_Config'!$B$28,MAX('01_Model_Config'!$B$27,MIN(D5+'01_Model_Config'!$B$42,MAX(D5-'01_Model_Config'!$B$42,'01_Model_Config'!$B$24+'01_Model_Config'!$B$25*I5))))),2)</f>
        <v/>
      </c>
      <c r="K5" s="12">
        <f>IF(J5&gt;='01_Model_Config'!$A$16,'01_Model_Config'!$C$16,IF(J5&gt;='01_Model_Config'!$A$17,'01_Model_Config'!$C$17,IF(J5&gt;='01_Model_Config'!$A$18,'01_Model_Config'!$C$18,IF(J5&gt;='01_Model_Config'!$A$19,'01_Model_Config'!$C$19,'01_Model_Config'!$C$20))))</f>
        <v/>
      </c>
      <c r="L5" s="12">
        <f>IF(J5&gt;='01_Model_Config'!$A$16,'01_Model_Config'!$E$16,IF(J5&gt;='01_Model_Config'!$A$17,'01_Model_Config'!$E$17,IF(J5&gt;='01_Model_Config'!$A$18,'01_Model_Config'!$E$18,IF(J5&gt;='01_Model_Config'!$A$19,'01_Model_Config'!$E$19,'01_Model_Config'!$E$20))))</f>
        <v/>
      </c>
      <c r="M5" s="10">
        <f>ROUND(STDEV.S('04_Pillar_Calculation'!C5:H5),2)</f>
        <v/>
      </c>
      <c r="N5" s="10">
        <f>ROUND(MAX('04_Pillar_Calculation'!C5:H5)-MIN('04_Pillar_Calculation'!C5:H5),2)</f>
        <v/>
      </c>
      <c r="O5" s="12">
        <f>"MEDIUM"</f>
        <v/>
      </c>
      <c r="P5" s="12">
        <f>"HOLD"</f>
        <v/>
      </c>
      <c r="Q5" s="10">
        <f>IF(F5&lt;'01_Model_Config'!$B$26,"","")</f>
        <v/>
      </c>
      <c r="R5" s="10">
        <f>IF(F5&lt;'01_Model_Config'!$B$26,"","")</f>
        <v/>
      </c>
      <c r="S5" s="12">
        <f>ROUND(D5,2)</f>
        <v/>
      </c>
    </row>
    <row r="6">
      <c r="A6" s="28">
        <f>'04_Pillar_Calculation'!A6</f>
        <v/>
      </c>
      <c r="B6" s="28">
        <f>'04_Pillar_Calculation'!B6</f>
        <v/>
      </c>
      <c r="C6" s="30">
        <f>'02_Market_Inputs'!C6</f>
        <v/>
      </c>
      <c r="D6" s="10">
        <f>'04_Pillar_Calculation'!O6</f>
        <v/>
      </c>
      <c r="E6" s="12">
        <f>IF(D6&gt;='01_Model_Config'!$A$16,'01_Model_Config'!$C$16,IF(D6&gt;='01_Model_Config'!$A$17,'01_Model_Config'!$C$17,IF(D6&gt;='01_Model_Config'!$A$18,'01_Model_Config'!$C$18,IF(D6&gt;='01_Model_Config'!$A$19,'01_Model_Config'!$C$19,'01_Model_Config'!$C$20))))</f>
        <v/>
      </c>
      <c r="F6" s="12">
        <f>ROWS($D$5:D6)-1</f>
        <v/>
      </c>
      <c r="G6" s="10">
        <f>IF(F6&lt;'01_Model_Config'!$B$26,"",AVERAGE($D$5:D5))</f>
        <v/>
      </c>
      <c r="H6" s="10">
        <f>IF(F6&lt;'01_Model_Config'!$B$26,"",STDEV.S($D$5:D5))</f>
        <v/>
      </c>
      <c r="I6" s="31">
        <f>IF(F6&lt;'01_Model_Config'!$B$26,"",MIN('01_Model_Config'!$B$41,MAX(-'01_Model_Config'!$B$41,(D6-G6)/MAX(H6,'01_Model_Config'!$B$40))))</f>
        <v/>
      </c>
      <c r="J6" s="10">
        <f>ROUND(IF(F6&lt;'01_Model_Config'!$B$26,D6,MIN('01_Model_Config'!$B$28,MAX('01_Model_Config'!$B$27,MIN(D6+'01_Model_Config'!$B$42,MAX(D6-'01_Model_Config'!$B$42,'01_Model_Config'!$B$24+'01_Model_Config'!$B$25*I6))))),2)</f>
        <v/>
      </c>
      <c r="K6" s="12">
        <f>IF(J6&gt;='01_Model_Config'!$A$16,'01_Model_Config'!$C$16,IF(J6&gt;='01_Model_Config'!$A$17,'01_Model_Config'!$C$17,IF(J6&gt;='01_Model_Config'!$A$18,'01_Model_Config'!$C$18,IF(J6&gt;='01_Model_Config'!$A$19,'01_Model_Config'!$C$19,'01_Model_Config'!$C$20))))</f>
        <v/>
      </c>
      <c r="L6" s="12">
        <f>IF(J6&gt;='01_Model_Config'!$A$16,'01_Model_Config'!$E$16,IF(J6&gt;='01_Model_Config'!$A$17,'01_Model_Config'!$E$17,IF(J6&gt;='01_Model_Config'!$A$18,'01_Model_Config'!$E$18,IF(J6&gt;='01_Model_Config'!$A$19,'01_Model_Config'!$E$19,'01_Model_Config'!$E$20))))</f>
        <v/>
      </c>
      <c r="M6" s="10">
        <f>ROUND(STDEV.S('04_Pillar_Calculation'!C6:H6),2)</f>
        <v/>
      </c>
      <c r="N6" s="10">
        <f>ROUND(MAX('04_Pillar_Calculation'!C6:H6)-MIN('04_Pillar_Calculation'!C6:H6),2)</f>
        <v/>
      </c>
      <c r="O6" s="12">
        <f>IF(F6&lt;'01_Model_Config'!$B$26,"MEDIUM",IF(M6&gt;=PERCENTILE.INC($M$5:M5,0.67),"HIGH",IF(M6&lt;=PERCENTILE.INC($M$5:M5,0.33),"LOW","MEDIUM")))</f>
        <v/>
      </c>
      <c r="P6" s="12">
        <f>IF(F6&lt;'01_Model_Config'!$B$26,"HOLD",IF(D6&gt;=R6,"BUY/ACCUMULATE",IF(D6&lt;=Q6,"REDUCE/SELL","HOLD")))</f>
        <v/>
      </c>
      <c r="Q6" s="10">
        <f>IF(F6&lt;'01_Model_Config'!$B$26,"",PERCENTILE.INC($D$5:D5,0.15))</f>
        <v/>
      </c>
      <c r="R6" s="10">
        <f>IF(F6&lt;'01_Model_Config'!$B$26,"",PERCENTILE.INC($D$5:D5,0.85))</f>
        <v/>
      </c>
      <c r="S6" s="12">
        <f>ROUND(D6,2)</f>
        <v/>
      </c>
    </row>
    <row r="7">
      <c r="A7" s="28">
        <f>'04_Pillar_Calculation'!A7</f>
        <v/>
      </c>
      <c r="B7" s="28">
        <f>'04_Pillar_Calculation'!B7</f>
        <v/>
      </c>
      <c r="C7" s="30">
        <f>'02_Market_Inputs'!C7</f>
        <v/>
      </c>
      <c r="D7" s="10">
        <f>'04_Pillar_Calculation'!O7</f>
        <v/>
      </c>
      <c r="E7" s="12">
        <f>IF(D7&gt;='01_Model_Config'!$A$16,'01_Model_Config'!$C$16,IF(D7&gt;='01_Model_Config'!$A$17,'01_Model_Config'!$C$17,IF(D7&gt;='01_Model_Config'!$A$18,'01_Model_Config'!$C$18,IF(D7&gt;='01_Model_Config'!$A$19,'01_Model_Config'!$C$19,'01_Model_Config'!$C$20))))</f>
        <v/>
      </c>
      <c r="F7" s="12">
        <f>ROWS($D$5:D7)-1</f>
        <v/>
      </c>
      <c r="G7" s="10">
        <f>IF(F7&lt;'01_Model_Config'!$B$26,"",AVERAGE($D$5:D6))</f>
        <v/>
      </c>
      <c r="H7" s="10">
        <f>IF(F7&lt;'01_Model_Config'!$B$26,"",STDEV.S($D$5:D6))</f>
        <v/>
      </c>
      <c r="I7" s="31">
        <f>IF(F7&lt;'01_Model_Config'!$B$26,"",MIN('01_Model_Config'!$B$41,MAX(-'01_Model_Config'!$B$41,(D7-G7)/MAX(H7,'01_Model_Config'!$B$40))))</f>
        <v/>
      </c>
      <c r="J7" s="10">
        <f>ROUND(IF(F7&lt;'01_Model_Config'!$B$26,D7,MIN('01_Model_Config'!$B$28,MAX('01_Model_Config'!$B$27,MIN(D7+'01_Model_Config'!$B$42,MAX(D7-'01_Model_Config'!$B$42,'01_Model_Config'!$B$24+'01_Model_Config'!$B$25*I7))))),2)</f>
        <v/>
      </c>
      <c r="K7" s="12">
        <f>IF(J7&gt;='01_Model_Config'!$A$16,'01_Model_Config'!$C$16,IF(J7&gt;='01_Model_Config'!$A$17,'01_Model_Config'!$C$17,IF(J7&gt;='01_Model_Config'!$A$18,'01_Model_Config'!$C$18,IF(J7&gt;='01_Model_Config'!$A$19,'01_Model_Config'!$C$19,'01_Model_Config'!$C$20))))</f>
        <v/>
      </c>
      <c r="L7" s="12">
        <f>IF(J7&gt;='01_Model_Config'!$A$16,'01_Model_Config'!$E$16,IF(J7&gt;='01_Model_Config'!$A$17,'01_Model_Config'!$E$17,IF(J7&gt;='01_Model_Config'!$A$18,'01_Model_Config'!$E$18,IF(J7&gt;='01_Model_Config'!$A$19,'01_Model_Config'!$E$19,'01_Model_Config'!$E$20))))</f>
        <v/>
      </c>
      <c r="M7" s="10">
        <f>ROUND(STDEV.S('04_Pillar_Calculation'!C7:H7),2)</f>
        <v/>
      </c>
      <c r="N7" s="10">
        <f>ROUND(MAX('04_Pillar_Calculation'!C7:H7)-MIN('04_Pillar_Calculation'!C7:H7),2)</f>
        <v/>
      </c>
      <c r="O7" s="12">
        <f>IF(F7&lt;'01_Model_Config'!$B$26,"MEDIUM",IF(M7&gt;=PERCENTILE.INC($M$5:M6,0.67),"HIGH",IF(M7&lt;=PERCENTILE.INC($M$5:M6,0.33),"LOW","MEDIUM")))</f>
        <v/>
      </c>
      <c r="P7" s="12">
        <f>IF(F7&lt;'01_Model_Config'!$B$26,"HOLD",IF(D7&gt;=R7,"BUY/ACCUMULATE",IF(D7&lt;=Q7,"REDUCE/SELL","HOLD")))</f>
        <v/>
      </c>
      <c r="Q7" s="10">
        <f>IF(F7&lt;'01_Model_Config'!$B$26,"",PERCENTILE.INC($D$5:D6,0.15))</f>
        <v/>
      </c>
      <c r="R7" s="10">
        <f>IF(F7&lt;'01_Model_Config'!$B$26,"",PERCENTILE.INC($D$5:D6,0.85))</f>
        <v/>
      </c>
      <c r="S7" s="12">
        <f>ROUND(D7,2)</f>
        <v/>
      </c>
    </row>
    <row r="8">
      <c r="A8" s="28">
        <f>'04_Pillar_Calculation'!A8</f>
        <v/>
      </c>
      <c r="B8" s="28">
        <f>'04_Pillar_Calculation'!B8</f>
        <v/>
      </c>
      <c r="C8" s="30">
        <f>'02_Market_Inputs'!C8</f>
        <v/>
      </c>
      <c r="D8" s="10">
        <f>'04_Pillar_Calculation'!O8</f>
        <v/>
      </c>
      <c r="E8" s="12">
        <f>IF(D8&gt;='01_Model_Config'!$A$16,'01_Model_Config'!$C$16,IF(D8&gt;='01_Model_Config'!$A$17,'01_Model_Config'!$C$17,IF(D8&gt;='01_Model_Config'!$A$18,'01_Model_Config'!$C$18,IF(D8&gt;='01_Model_Config'!$A$19,'01_Model_Config'!$C$19,'01_Model_Config'!$C$20))))</f>
        <v/>
      </c>
      <c r="F8" s="12">
        <f>ROWS($D$5:D8)-1</f>
        <v/>
      </c>
      <c r="G8" s="10">
        <f>IF(F8&lt;'01_Model_Config'!$B$26,"",AVERAGE($D$5:D7))</f>
        <v/>
      </c>
      <c r="H8" s="10">
        <f>IF(F8&lt;'01_Model_Config'!$B$26,"",STDEV.S($D$5:D7))</f>
        <v/>
      </c>
      <c r="I8" s="31">
        <f>IF(F8&lt;'01_Model_Config'!$B$26,"",MIN('01_Model_Config'!$B$41,MAX(-'01_Model_Config'!$B$41,(D8-G8)/MAX(H8,'01_Model_Config'!$B$40))))</f>
        <v/>
      </c>
      <c r="J8" s="10">
        <f>ROUND(IF(F8&lt;'01_Model_Config'!$B$26,D8,MIN('01_Model_Config'!$B$28,MAX('01_Model_Config'!$B$27,MIN(D8+'01_Model_Config'!$B$42,MAX(D8-'01_Model_Config'!$B$42,'01_Model_Config'!$B$24+'01_Model_Config'!$B$25*I8))))),2)</f>
        <v/>
      </c>
      <c r="K8" s="12">
        <f>IF(J8&gt;='01_Model_Config'!$A$16,'01_Model_Config'!$C$16,IF(J8&gt;='01_Model_Config'!$A$17,'01_Model_Config'!$C$17,IF(J8&gt;='01_Model_Config'!$A$18,'01_Model_Config'!$C$18,IF(J8&gt;='01_Model_Config'!$A$19,'01_Model_Config'!$C$19,'01_Model_Config'!$C$20))))</f>
        <v/>
      </c>
      <c r="L8" s="12">
        <f>IF(J8&gt;='01_Model_Config'!$A$16,'01_Model_Config'!$E$16,IF(J8&gt;='01_Model_Config'!$A$17,'01_Model_Config'!$E$17,IF(J8&gt;='01_Model_Config'!$A$18,'01_Model_Config'!$E$18,IF(J8&gt;='01_Model_Config'!$A$19,'01_Model_Config'!$E$19,'01_Model_Config'!$E$20))))</f>
        <v/>
      </c>
      <c r="M8" s="10">
        <f>ROUND(STDEV.S('04_Pillar_Calculation'!C8:H8),2)</f>
        <v/>
      </c>
      <c r="N8" s="10">
        <f>ROUND(MAX('04_Pillar_Calculation'!C8:H8)-MIN('04_Pillar_Calculation'!C8:H8),2)</f>
        <v/>
      </c>
      <c r="O8" s="12">
        <f>IF(F8&lt;'01_Model_Config'!$B$26,"MEDIUM",IF(M8&gt;=PERCENTILE.INC($M$5:M7,0.67),"HIGH",IF(M8&lt;=PERCENTILE.INC($M$5:M7,0.33),"LOW","MEDIUM")))</f>
        <v/>
      </c>
      <c r="P8" s="12">
        <f>IF(F8&lt;'01_Model_Config'!$B$26,"HOLD",IF(D8&gt;=R8,"BUY/ACCUMULATE",IF(D8&lt;=Q8,"REDUCE/SELL","HOLD")))</f>
        <v/>
      </c>
      <c r="Q8" s="10">
        <f>IF(F8&lt;'01_Model_Config'!$B$26,"",PERCENTILE.INC($D$5:D7,0.15))</f>
        <v/>
      </c>
      <c r="R8" s="10">
        <f>IF(F8&lt;'01_Model_Config'!$B$26,"",PERCENTILE.INC($D$5:D7,0.85))</f>
        <v/>
      </c>
      <c r="S8" s="12">
        <f>ROUND(D8,2)</f>
        <v/>
      </c>
    </row>
    <row r="9">
      <c r="A9" s="28">
        <f>'04_Pillar_Calculation'!A9</f>
        <v/>
      </c>
      <c r="B9" s="28">
        <f>'04_Pillar_Calculation'!B9</f>
        <v/>
      </c>
      <c r="C9" s="30">
        <f>'02_Market_Inputs'!C9</f>
        <v/>
      </c>
      <c r="D9" s="10">
        <f>'04_Pillar_Calculation'!O9</f>
        <v/>
      </c>
      <c r="E9" s="12">
        <f>IF(D9&gt;='01_Model_Config'!$A$16,'01_Model_Config'!$C$16,IF(D9&gt;='01_Model_Config'!$A$17,'01_Model_Config'!$C$17,IF(D9&gt;='01_Model_Config'!$A$18,'01_Model_Config'!$C$18,IF(D9&gt;='01_Model_Config'!$A$19,'01_Model_Config'!$C$19,'01_Model_Config'!$C$20))))</f>
        <v/>
      </c>
      <c r="F9" s="12">
        <f>ROWS($D$5:D9)-1</f>
        <v/>
      </c>
      <c r="G9" s="10">
        <f>IF(F9&lt;'01_Model_Config'!$B$26,"",AVERAGE($D$5:D8))</f>
        <v/>
      </c>
      <c r="H9" s="10">
        <f>IF(F9&lt;'01_Model_Config'!$B$26,"",STDEV.S($D$5:D8))</f>
        <v/>
      </c>
      <c r="I9" s="31">
        <f>IF(F9&lt;'01_Model_Config'!$B$26,"",MIN('01_Model_Config'!$B$41,MAX(-'01_Model_Config'!$B$41,(D9-G9)/MAX(H9,'01_Model_Config'!$B$40))))</f>
        <v/>
      </c>
      <c r="J9" s="10">
        <f>ROUND(IF(F9&lt;'01_Model_Config'!$B$26,D9,MIN('01_Model_Config'!$B$28,MAX('01_Model_Config'!$B$27,MIN(D9+'01_Model_Config'!$B$42,MAX(D9-'01_Model_Config'!$B$42,'01_Model_Config'!$B$24+'01_Model_Config'!$B$25*I9))))),2)</f>
        <v/>
      </c>
      <c r="K9" s="12">
        <f>IF(J9&gt;='01_Model_Config'!$A$16,'01_Model_Config'!$C$16,IF(J9&gt;='01_Model_Config'!$A$17,'01_Model_Config'!$C$17,IF(J9&gt;='01_Model_Config'!$A$18,'01_Model_Config'!$C$18,IF(J9&gt;='01_Model_Config'!$A$19,'01_Model_Config'!$C$19,'01_Model_Config'!$C$20))))</f>
        <v/>
      </c>
      <c r="L9" s="12">
        <f>IF(J9&gt;='01_Model_Config'!$A$16,'01_Model_Config'!$E$16,IF(J9&gt;='01_Model_Config'!$A$17,'01_Model_Config'!$E$17,IF(J9&gt;='01_Model_Config'!$A$18,'01_Model_Config'!$E$18,IF(J9&gt;='01_Model_Config'!$A$19,'01_Model_Config'!$E$19,'01_Model_Config'!$E$20))))</f>
        <v/>
      </c>
      <c r="M9" s="10">
        <f>ROUND(STDEV.S('04_Pillar_Calculation'!C9:H9),2)</f>
        <v/>
      </c>
      <c r="N9" s="10">
        <f>ROUND(MAX('04_Pillar_Calculation'!C9:H9)-MIN('04_Pillar_Calculation'!C9:H9),2)</f>
        <v/>
      </c>
      <c r="O9" s="12">
        <f>IF(F9&lt;'01_Model_Config'!$B$26,"MEDIUM",IF(M9&gt;=PERCENTILE.INC($M$5:M8,0.67),"HIGH",IF(M9&lt;=PERCENTILE.INC($M$5:M8,0.33),"LOW","MEDIUM")))</f>
        <v/>
      </c>
      <c r="P9" s="12">
        <f>IF(F9&lt;'01_Model_Config'!$B$26,"HOLD",IF(D9&gt;=R9,"BUY/ACCUMULATE",IF(D9&lt;=Q9,"REDUCE/SELL","HOLD")))</f>
        <v/>
      </c>
      <c r="Q9" s="10">
        <f>IF(F9&lt;'01_Model_Config'!$B$26,"",PERCENTILE.INC($D$5:D8,0.15))</f>
        <v/>
      </c>
      <c r="R9" s="10">
        <f>IF(F9&lt;'01_Model_Config'!$B$26,"",PERCENTILE.INC($D$5:D8,0.85))</f>
        <v/>
      </c>
      <c r="S9" s="12">
        <f>ROUND(D9,2)</f>
        <v/>
      </c>
    </row>
    <row r="10">
      <c r="A10" s="28">
        <f>'04_Pillar_Calculation'!A10</f>
        <v/>
      </c>
      <c r="B10" s="28">
        <f>'04_Pillar_Calculation'!B10</f>
        <v/>
      </c>
      <c r="C10" s="30">
        <f>'02_Market_Inputs'!C10</f>
        <v/>
      </c>
      <c r="D10" s="10">
        <f>'04_Pillar_Calculation'!O10</f>
        <v/>
      </c>
      <c r="E10" s="12">
        <f>IF(D10&gt;='01_Model_Config'!$A$16,'01_Model_Config'!$C$16,IF(D10&gt;='01_Model_Config'!$A$17,'01_Model_Config'!$C$17,IF(D10&gt;='01_Model_Config'!$A$18,'01_Model_Config'!$C$18,IF(D10&gt;='01_Model_Config'!$A$19,'01_Model_Config'!$C$19,'01_Model_Config'!$C$20))))</f>
        <v/>
      </c>
      <c r="F10" s="12">
        <f>ROWS($D$5:D10)-1</f>
        <v/>
      </c>
      <c r="G10" s="10">
        <f>IF(F10&lt;'01_Model_Config'!$B$26,"",AVERAGE($D$5:D9))</f>
        <v/>
      </c>
      <c r="H10" s="10">
        <f>IF(F10&lt;'01_Model_Config'!$B$26,"",STDEV.S($D$5:D9))</f>
        <v/>
      </c>
      <c r="I10" s="31">
        <f>IF(F10&lt;'01_Model_Config'!$B$26,"",MIN('01_Model_Config'!$B$41,MAX(-'01_Model_Config'!$B$41,(D10-G10)/MAX(H10,'01_Model_Config'!$B$40))))</f>
        <v/>
      </c>
      <c r="J10" s="10">
        <f>ROUND(IF(F10&lt;'01_Model_Config'!$B$26,D10,MIN('01_Model_Config'!$B$28,MAX('01_Model_Config'!$B$27,MIN(D10+'01_Model_Config'!$B$42,MAX(D10-'01_Model_Config'!$B$42,'01_Model_Config'!$B$24+'01_Model_Config'!$B$25*I10))))),2)</f>
        <v/>
      </c>
      <c r="K10" s="12">
        <f>IF(J10&gt;='01_Model_Config'!$A$16,'01_Model_Config'!$C$16,IF(J10&gt;='01_Model_Config'!$A$17,'01_Model_Config'!$C$17,IF(J10&gt;='01_Model_Config'!$A$18,'01_Model_Config'!$C$18,IF(J10&gt;='01_Model_Config'!$A$19,'01_Model_Config'!$C$19,'01_Model_Config'!$C$20))))</f>
        <v/>
      </c>
      <c r="L10" s="12">
        <f>IF(J10&gt;='01_Model_Config'!$A$16,'01_Model_Config'!$E$16,IF(J10&gt;='01_Model_Config'!$A$17,'01_Model_Config'!$E$17,IF(J10&gt;='01_Model_Config'!$A$18,'01_Model_Config'!$E$18,IF(J10&gt;='01_Model_Config'!$A$19,'01_Model_Config'!$E$19,'01_Model_Config'!$E$20))))</f>
        <v/>
      </c>
      <c r="M10" s="10">
        <f>ROUND(STDEV.S('04_Pillar_Calculation'!C10:H10),2)</f>
        <v/>
      </c>
      <c r="N10" s="10">
        <f>ROUND(MAX('04_Pillar_Calculation'!C10:H10)-MIN('04_Pillar_Calculation'!C10:H10),2)</f>
        <v/>
      </c>
      <c r="O10" s="12">
        <f>IF(F10&lt;'01_Model_Config'!$B$26,"MEDIUM",IF(M10&gt;=PERCENTILE.INC($M$5:M9,0.67),"HIGH",IF(M10&lt;=PERCENTILE.INC($M$5:M9,0.33),"LOW","MEDIUM")))</f>
        <v/>
      </c>
      <c r="P10" s="12">
        <f>IF(F10&lt;'01_Model_Config'!$B$26,"HOLD",IF(D10&gt;=R10,"BUY/ACCUMULATE",IF(D10&lt;=Q10,"REDUCE/SELL","HOLD")))</f>
        <v/>
      </c>
      <c r="Q10" s="10">
        <f>IF(F10&lt;'01_Model_Config'!$B$26,"",PERCENTILE.INC($D$5:D9,0.15))</f>
        <v/>
      </c>
      <c r="R10" s="10">
        <f>IF(F10&lt;'01_Model_Config'!$B$26,"",PERCENTILE.INC($D$5:D9,0.85))</f>
        <v/>
      </c>
      <c r="S10" s="12">
        <f>ROUND(D10,2)</f>
        <v/>
      </c>
    </row>
    <row r="11">
      <c r="A11" s="28">
        <f>'04_Pillar_Calculation'!A11</f>
        <v/>
      </c>
      <c r="B11" s="28">
        <f>'04_Pillar_Calculation'!B11</f>
        <v/>
      </c>
      <c r="C11" s="30">
        <f>'02_Market_Inputs'!C11</f>
        <v/>
      </c>
      <c r="D11" s="10">
        <f>'04_Pillar_Calculation'!O11</f>
        <v/>
      </c>
      <c r="E11" s="12">
        <f>IF(D11&gt;='01_Model_Config'!$A$16,'01_Model_Config'!$C$16,IF(D11&gt;='01_Model_Config'!$A$17,'01_Model_Config'!$C$17,IF(D11&gt;='01_Model_Config'!$A$18,'01_Model_Config'!$C$18,IF(D11&gt;='01_Model_Config'!$A$19,'01_Model_Config'!$C$19,'01_Model_Config'!$C$20))))</f>
        <v/>
      </c>
      <c r="F11" s="12">
        <f>ROWS($D$5:D11)-1</f>
        <v/>
      </c>
      <c r="G11" s="10">
        <f>IF(F11&lt;'01_Model_Config'!$B$26,"",AVERAGE($D$5:D10))</f>
        <v/>
      </c>
      <c r="H11" s="10">
        <f>IF(F11&lt;'01_Model_Config'!$B$26,"",STDEV.S($D$5:D10))</f>
        <v/>
      </c>
      <c r="I11" s="31">
        <f>IF(F11&lt;'01_Model_Config'!$B$26,"",MIN('01_Model_Config'!$B$41,MAX(-'01_Model_Config'!$B$41,(D11-G11)/MAX(H11,'01_Model_Config'!$B$40))))</f>
        <v/>
      </c>
      <c r="J11" s="10">
        <f>ROUND(IF(F11&lt;'01_Model_Config'!$B$26,D11,MIN('01_Model_Config'!$B$28,MAX('01_Model_Config'!$B$27,MIN(D11+'01_Model_Config'!$B$42,MAX(D11-'01_Model_Config'!$B$42,'01_Model_Config'!$B$24+'01_Model_Config'!$B$25*I11))))),2)</f>
        <v/>
      </c>
      <c r="K11" s="12">
        <f>IF(J11&gt;='01_Model_Config'!$A$16,'01_Model_Config'!$C$16,IF(J11&gt;='01_Model_Config'!$A$17,'01_Model_Config'!$C$17,IF(J11&gt;='01_Model_Config'!$A$18,'01_Model_Config'!$C$18,IF(J11&gt;='01_Model_Config'!$A$19,'01_Model_Config'!$C$19,'01_Model_Config'!$C$20))))</f>
        <v/>
      </c>
      <c r="L11" s="12">
        <f>IF(J11&gt;='01_Model_Config'!$A$16,'01_Model_Config'!$E$16,IF(J11&gt;='01_Model_Config'!$A$17,'01_Model_Config'!$E$17,IF(J11&gt;='01_Model_Config'!$A$18,'01_Model_Config'!$E$18,IF(J11&gt;='01_Model_Config'!$A$19,'01_Model_Config'!$E$19,'01_Model_Config'!$E$20))))</f>
        <v/>
      </c>
      <c r="M11" s="10">
        <f>ROUND(STDEV.S('04_Pillar_Calculation'!C11:H11),2)</f>
        <v/>
      </c>
      <c r="N11" s="10">
        <f>ROUND(MAX('04_Pillar_Calculation'!C11:H11)-MIN('04_Pillar_Calculation'!C11:H11),2)</f>
        <v/>
      </c>
      <c r="O11" s="12">
        <f>IF(F11&lt;'01_Model_Config'!$B$26,"MEDIUM",IF(M11&gt;=PERCENTILE.INC($M$5:M10,0.67),"HIGH",IF(M11&lt;=PERCENTILE.INC($M$5:M10,0.33),"LOW","MEDIUM")))</f>
        <v/>
      </c>
      <c r="P11" s="12">
        <f>IF(F11&lt;'01_Model_Config'!$B$26,"HOLD",IF(D11&gt;=R11,"BUY/ACCUMULATE",IF(D11&lt;=Q11,"REDUCE/SELL","HOLD")))</f>
        <v/>
      </c>
      <c r="Q11" s="10">
        <f>IF(F11&lt;'01_Model_Config'!$B$26,"",PERCENTILE.INC($D$5:D10,0.15))</f>
        <v/>
      </c>
      <c r="R11" s="10">
        <f>IF(F11&lt;'01_Model_Config'!$B$26,"",PERCENTILE.INC($D$5:D10,0.85))</f>
        <v/>
      </c>
      <c r="S11" s="12">
        <f>ROUND(D11,2)</f>
        <v/>
      </c>
    </row>
    <row r="12">
      <c r="A12" s="28">
        <f>'04_Pillar_Calculation'!A12</f>
        <v/>
      </c>
      <c r="B12" s="28">
        <f>'04_Pillar_Calculation'!B12</f>
        <v/>
      </c>
      <c r="C12" s="30">
        <f>'02_Market_Inputs'!C12</f>
        <v/>
      </c>
      <c r="D12" s="10">
        <f>'04_Pillar_Calculation'!O12</f>
        <v/>
      </c>
      <c r="E12" s="12">
        <f>IF(D12&gt;='01_Model_Config'!$A$16,'01_Model_Config'!$C$16,IF(D12&gt;='01_Model_Config'!$A$17,'01_Model_Config'!$C$17,IF(D12&gt;='01_Model_Config'!$A$18,'01_Model_Config'!$C$18,IF(D12&gt;='01_Model_Config'!$A$19,'01_Model_Config'!$C$19,'01_Model_Config'!$C$20))))</f>
        <v/>
      </c>
      <c r="F12" s="12">
        <f>ROWS($D$5:D12)-1</f>
        <v/>
      </c>
      <c r="G12" s="10">
        <f>IF(F12&lt;'01_Model_Config'!$B$26,"",AVERAGE($D$5:D11))</f>
        <v/>
      </c>
      <c r="H12" s="10">
        <f>IF(F12&lt;'01_Model_Config'!$B$26,"",STDEV.S($D$5:D11))</f>
        <v/>
      </c>
      <c r="I12" s="31">
        <f>IF(F12&lt;'01_Model_Config'!$B$26,"",MIN('01_Model_Config'!$B$41,MAX(-'01_Model_Config'!$B$41,(D12-G12)/MAX(H12,'01_Model_Config'!$B$40))))</f>
        <v/>
      </c>
      <c r="J12" s="10">
        <f>ROUND(IF(F12&lt;'01_Model_Config'!$B$26,D12,MIN('01_Model_Config'!$B$28,MAX('01_Model_Config'!$B$27,MIN(D12+'01_Model_Config'!$B$42,MAX(D12-'01_Model_Config'!$B$42,'01_Model_Config'!$B$24+'01_Model_Config'!$B$25*I12))))),2)</f>
        <v/>
      </c>
      <c r="K12" s="12">
        <f>IF(J12&gt;='01_Model_Config'!$A$16,'01_Model_Config'!$C$16,IF(J12&gt;='01_Model_Config'!$A$17,'01_Model_Config'!$C$17,IF(J12&gt;='01_Model_Config'!$A$18,'01_Model_Config'!$C$18,IF(J12&gt;='01_Model_Config'!$A$19,'01_Model_Config'!$C$19,'01_Model_Config'!$C$20))))</f>
        <v/>
      </c>
      <c r="L12" s="12">
        <f>IF(J12&gt;='01_Model_Config'!$A$16,'01_Model_Config'!$E$16,IF(J12&gt;='01_Model_Config'!$A$17,'01_Model_Config'!$E$17,IF(J12&gt;='01_Model_Config'!$A$18,'01_Model_Config'!$E$18,IF(J12&gt;='01_Model_Config'!$A$19,'01_Model_Config'!$E$19,'01_Model_Config'!$E$20))))</f>
        <v/>
      </c>
      <c r="M12" s="10">
        <f>ROUND(STDEV.S('04_Pillar_Calculation'!C12:H12),2)</f>
        <v/>
      </c>
      <c r="N12" s="10">
        <f>ROUND(MAX('04_Pillar_Calculation'!C12:H12)-MIN('04_Pillar_Calculation'!C12:H12),2)</f>
        <v/>
      </c>
      <c r="O12" s="12">
        <f>IF(F12&lt;'01_Model_Config'!$B$26,"MEDIUM",IF(M12&gt;=PERCENTILE.INC($M$5:M11,0.67),"HIGH",IF(M12&lt;=PERCENTILE.INC($M$5:M11,0.33),"LOW","MEDIUM")))</f>
        <v/>
      </c>
      <c r="P12" s="12">
        <f>IF(F12&lt;'01_Model_Config'!$B$26,"HOLD",IF(D12&gt;=R12,"BUY/ACCUMULATE",IF(D12&lt;=Q12,"REDUCE/SELL","HOLD")))</f>
        <v/>
      </c>
      <c r="Q12" s="10">
        <f>IF(F12&lt;'01_Model_Config'!$B$26,"",PERCENTILE.INC($D$5:D11,0.15))</f>
        <v/>
      </c>
      <c r="R12" s="10">
        <f>IF(F12&lt;'01_Model_Config'!$B$26,"",PERCENTILE.INC($D$5:D11,0.85))</f>
        <v/>
      </c>
      <c r="S12" s="12">
        <f>ROUND(D12,2)</f>
        <v/>
      </c>
    </row>
    <row r="13">
      <c r="A13" s="28">
        <f>'04_Pillar_Calculation'!A13</f>
        <v/>
      </c>
      <c r="B13" s="28">
        <f>'04_Pillar_Calculation'!B13</f>
        <v/>
      </c>
      <c r="C13" s="30">
        <f>'02_Market_Inputs'!C13</f>
        <v/>
      </c>
      <c r="D13" s="10">
        <f>'04_Pillar_Calculation'!O13</f>
        <v/>
      </c>
      <c r="E13" s="12">
        <f>IF(D13&gt;='01_Model_Config'!$A$16,'01_Model_Config'!$C$16,IF(D13&gt;='01_Model_Config'!$A$17,'01_Model_Config'!$C$17,IF(D13&gt;='01_Model_Config'!$A$18,'01_Model_Config'!$C$18,IF(D13&gt;='01_Model_Config'!$A$19,'01_Model_Config'!$C$19,'01_Model_Config'!$C$20))))</f>
        <v/>
      </c>
      <c r="F13" s="12">
        <f>ROWS($D$5:D13)-1</f>
        <v/>
      </c>
      <c r="G13" s="10">
        <f>IF(F13&lt;'01_Model_Config'!$B$26,"",AVERAGE($D$5:D12))</f>
        <v/>
      </c>
      <c r="H13" s="10">
        <f>IF(F13&lt;'01_Model_Config'!$B$26,"",STDEV.S($D$5:D12))</f>
        <v/>
      </c>
      <c r="I13" s="31">
        <f>IF(F13&lt;'01_Model_Config'!$B$26,"",MIN('01_Model_Config'!$B$41,MAX(-'01_Model_Config'!$B$41,(D13-G13)/MAX(H13,'01_Model_Config'!$B$40))))</f>
        <v/>
      </c>
      <c r="J13" s="10">
        <f>ROUND(IF(F13&lt;'01_Model_Config'!$B$26,D13,MIN('01_Model_Config'!$B$28,MAX('01_Model_Config'!$B$27,MIN(D13+'01_Model_Config'!$B$42,MAX(D13-'01_Model_Config'!$B$42,'01_Model_Config'!$B$24+'01_Model_Config'!$B$25*I13))))),2)</f>
        <v/>
      </c>
      <c r="K13" s="12">
        <f>IF(J13&gt;='01_Model_Config'!$A$16,'01_Model_Config'!$C$16,IF(J13&gt;='01_Model_Config'!$A$17,'01_Model_Config'!$C$17,IF(J13&gt;='01_Model_Config'!$A$18,'01_Model_Config'!$C$18,IF(J13&gt;='01_Model_Config'!$A$19,'01_Model_Config'!$C$19,'01_Model_Config'!$C$20))))</f>
        <v/>
      </c>
      <c r="L13" s="12">
        <f>IF(J13&gt;='01_Model_Config'!$A$16,'01_Model_Config'!$E$16,IF(J13&gt;='01_Model_Config'!$A$17,'01_Model_Config'!$E$17,IF(J13&gt;='01_Model_Config'!$A$18,'01_Model_Config'!$E$18,IF(J13&gt;='01_Model_Config'!$A$19,'01_Model_Config'!$E$19,'01_Model_Config'!$E$20))))</f>
        <v/>
      </c>
      <c r="M13" s="10">
        <f>ROUND(STDEV.S('04_Pillar_Calculation'!C13:H13),2)</f>
        <v/>
      </c>
      <c r="N13" s="10">
        <f>ROUND(MAX('04_Pillar_Calculation'!C13:H13)-MIN('04_Pillar_Calculation'!C13:H13),2)</f>
        <v/>
      </c>
      <c r="O13" s="12">
        <f>IF(F13&lt;'01_Model_Config'!$B$26,"MEDIUM",IF(M13&gt;=PERCENTILE.INC($M$5:M12,0.67),"HIGH",IF(M13&lt;=PERCENTILE.INC($M$5:M12,0.33),"LOW","MEDIUM")))</f>
        <v/>
      </c>
      <c r="P13" s="12">
        <f>IF(F13&lt;'01_Model_Config'!$B$26,"HOLD",IF(D13&gt;=R13,"BUY/ACCUMULATE",IF(D13&lt;=Q13,"REDUCE/SELL","HOLD")))</f>
        <v/>
      </c>
      <c r="Q13" s="10">
        <f>IF(F13&lt;'01_Model_Config'!$B$26,"",PERCENTILE.INC($D$5:D12,0.15))</f>
        <v/>
      </c>
      <c r="R13" s="10">
        <f>IF(F13&lt;'01_Model_Config'!$B$26,"",PERCENTILE.INC($D$5:D12,0.85))</f>
        <v/>
      </c>
      <c r="S13" s="12">
        <f>ROUND(D13,2)</f>
        <v/>
      </c>
    </row>
    <row r="14">
      <c r="A14" s="28">
        <f>'04_Pillar_Calculation'!A14</f>
        <v/>
      </c>
      <c r="B14" s="28">
        <f>'04_Pillar_Calculation'!B14</f>
        <v/>
      </c>
      <c r="C14" s="30">
        <f>'02_Market_Inputs'!C14</f>
        <v/>
      </c>
      <c r="D14" s="10">
        <f>'04_Pillar_Calculation'!O14</f>
        <v/>
      </c>
      <c r="E14" s="12">
        <f>IF(D14&gt;='01_Model_Config'!$A$16,'01_Model_Config'!$C$16,IF(D14&gt;='01_Model_Config'!$A$17,'01_Model_Config'!$C$17,IF(D14&gt;='01_Model_Config'!$A$18,'01_Model_Config'!$C$18,IF(D14&gt;='01_Model_Config'!$A$19,'01_Model_Config'!$C$19,'01_Model_Config'!$C$20))))</f>
        <v/>
      </c>
      <c r="F14" s="12">
        <f>ROWS($D$5:D14)-1</f>
        <v/>
      </c>
      <c r="G14" s="10">
        <f>IF(F14&lt;'01_Model_Config'!$B$26,"",AVERAGE($D$5:D13))</f>
        <v/>
      </c>
      <c r="H14" s="10">
        <f>IF(F14&lt;'01_Model_Config'!$B$26,"",STDEV.S($D$5:D13))</f>
        <v/>
      </c>
      <c r="I14" s="31">
        <f>IF(F14&lt;'01_Model_Config'!$B$26,"",MIN('01_Model_Config'!$B$41,MAX(-'01_Model_Config'!$B$41,(D14-G14)/MAX(H14,'01_Model_Config'!$B$40))))</f>
        <v/>
      </c>
      <c r="J14" s="10">
        <f>ROUND(IF(F14&lt;'01_Model_Config'!$B$26,D14,MIN('01_Model_Config'!$B$28,MAX('01_Model_Config'!$B$27,MIN(D14+'01_Model_Config'!$B$42,MAX(D14-'01_Model_Config'!$B$42,'01_Model_Config'!$B$24+'01_Model_Config'!$B$25*I14))))),2)</f>
        <v/>
      </c>
      <c r="K14" s="12">
        <f>IF(J14&gt;='01_Model_Config'!$A$16,'01_Model_Config'!$C$16,IF(J14&gt;='01_Model_Config'!$A$17,'01_Model_Config'!$C$17,IF(J14&gt;='01_Model_Config'!$A$18,'01_Model_Config'!$C$18,IF(J14&gt;='01_Model_Config'!$A$19,'01_Model_Config'!$C$19,'01_Model_Config'!$C$20))))</f>
        <v/>
      </c>
      <c r="L14" s="12">
        <f>IF(J14&gt;='01_Model_Config'!$A$16,'01_Model_Config'!$E$16,IF(J14&gt;='01_Model_Config'!$A$17,'01_Model_Config'!$E$17,IF(J14&gt;='01_Model_Config'!$A$18,'01_Model_Config'!$E$18,IF(J14&gt;='01_Model_Config'!$A$19,'01_Model_Config'!$E$19,'01_Model_Config'!$E$20))))</f>
        <v/>
      </c>
      <c r="M14" s="10">
        <f>ROUND(STDEV.S('04_Pillar_Calculation'!C14:H14),2)</f>
        <v/>
      </c>
      <c r="N14" s="10">
        <f>ROUND(MAX('04_Pillar_Calculation'!C14:H14)-MIN('04_Pillar_Calculation'!C14:H14),2)</f>
        <v/>
      </c>
      <c r="O14" s="12">
        <f>IF(F14&lt;'01_Model_Config'!$B$26,"MEDIUM",IF(M14&gt;=PERCENTILE.INC($M$5:M13,0.67),"HIGH",IF(M14&lt;=PERCENTILE.INC($M$5:M13,0.33),"LOW","MEDIUM")))</f>
        <v/>
      </c>
      <c r="P14" s="12">
        <f>IF(F14&lt;'01_Model_Config'!$B$26,"HOLD",IF(D14&gt;=R14,"BUY/ACCUMULATE",IF(D14&lt;=Q14,"REDUCE/SELL","HOLD")))</f>
        <v/>
      </c>
      <c r="Q14" s="10">
        <f>IF(F14&lt;'01_Model_Config'!$B$26,"",PERCENTILE.INC($D$5:D13,0.15))</f>
        <v/>
      </c>
      <c r="R14" s="10">
        <f>IF(F14&lt;'01_Model_Config'!$B$26,"",PERCENTILE.INC($D$5:D13,0.85))</f>
        <v/>
      </c>
      <c r="S14" s="12">
        <f>ROUND(D14,2)</f>
        <v/>
      </c>
    </row>
    <row r="15">
      <c r="A15" s="28">
        <f>'04_Pillar_Calculation'!A15</f>
        <v/>
      </c>
      <c r="B15" s="28">
        <f>'04_Pillar_Calculation'!B15</f>
        <v/>
      </c>
      <c r="C15" s="30">
        <f>'02_Market_Inputs'!C15</f>
        <v/>
      </c>
      <c r="D15" s="10">
        <f>'04_Pillar_Calculation'!O15</f>
        <v/>
      </c>
      <c r="E15" s="12">
        <f>IF(D15&gt;='01_Model_Config'!$A$16,'01_Model_Config'!$C$16,IF(D15&gt;='01_Model_Config'!$A$17,'01_Model_Config'!$C$17,IF(D15&gt;='01_Model_Config'!$A$18,'01_Model_Config'!$C$18,IF(D15&gt;='01_Model_Config'!$A$19,'01_Model_Config'!$C$19,'01_Model_Config'!$C$20))))</f>
        <v/>
      </c>
      <c r="F15" s="12">
        <f>ROWS($D$5:D15)-1</f>
        <v/>
      </c>
      <c r="G15" s="10">
        <f>IF(F15&lt;'01_Model_Config'!$B$26,"",AVERAGE($D$5:D14))</f>
        <v/>
      </c>
      <c r="H15" s="10">
        <f>IF(F15&lt;'01_Model_Config'!$B$26,"",STDEV.S($D$5:D14))</f>
        <v/>
      </c>
      <c r="I15" s="31">
        <f>IF(F15&lt;'01_Model_Config'!$B$26,"",MIN('01_Model_Config'!$B$41,MAX(-'01_Model_Config'!$B$41,(D15-G15)/MAX(H15,'01_Model_Config'!$B$40))))</f>
        <v/>
      </c>
      <c r="J15" s="10">
        <f>ROUND(IF(F15&lt;'01_Model_Config'!$B$26,D15,MIN('01_Model_Config'!$B$28,MAX('01_Model_Config'!$B$27,MIN(D15+'01_Model_Config'!$B$42,MAX(D15-'01_Model_Config'!$B$42,'01_Model_Config'!$B$24+'01_Model_Config'!$B$25*I15))))),2)</f>
        <v/>
      </c>
      <c r="K15" s="12">
        <f>IF(J15&gt;='01_Model_Config'!$A$16,'01_Model_Config'!$C$16,IF(J15&gt;='01_Model_Config'!$A$17,'01_Model_Config'!$C$17,IF(J15&gt;='01_Model_Config'!$A$18,'01_Model_Config'!$C$18,IF(J15&gt;='01_Model_Config'!$A$19,'01_Model_Config'!$C$19,'01_Model_Config'!$C$20))))</f>
        <v/>
      </c>
      <c r="L15" s="12">
        <f>IF(J15&gt;='01_Model_Config'!$A$16,'01_Model_Config'!$E$16,IF(J15&gt;='01_Model_Config'!$A$17,'01_Model_Config'!$E$17,IF(J15&gt;='01_Model_Config'!$A$18,'01_Model_Config'!$E$18,IF(J15&gt;='01_Model_Config'!$A$19,'01_Model_Config'!$E$19,'01_Model_Config'!$E$20))))</f>
        <v/>
      </c>
      <c r="M15" s="10">
        <f>ROUND(STDEV.S('04_Pillar_Calculation'!C15:H15),2)</f>
        <v/>
      </c>
      <c r="N15" s="10">
        <f>ROUND(MAX('04_Pillar_Calculation'!C15:H15)-MIN('04_Pillar_Calculation'!C15:H15),2)</f>
        <v/>
      </c>
      <c r="O15" s="12">
        <f>IF(F15&lt;'01_Model_Config'!$B$26,"MEDIUM",IF(M15&gt;=PERCENTILE.INC($M$5:M14,0.67),"HIGH",IF(M15&lt;=PERCENTILE.INC($M$5:M14,0.33),"LOW","MEDIUM")))</f>
        <v/>
      </c>
      <c r="P15" s="12">
        <f>IF(F15&lt;'01_Model_Config'!$B$26,"HOLD",IF(D15&gt;=R15,"BUY/ACCUMULATE",IF(D15&lt;=Q15,"REDUCE/SELL","HOLD")))</f>
        <v/>
      </c>
      <c r="Q15" s="10">
        <f>IF(F15&lt;'01_Model_Config'!$B$26,"",PERCENTILE.INC($D$5:D14,0.15))</f>
        <v/>
      </c>
      <c r="R15" s="10">
        <f>IF(F15&lt;'01_Model_Config'!$B$26,"",PERCENTILE.INC($D$5:D14,0.85))</f>
        <v/>
      </c>
      <c r="S15" s="12">
        <f>ROUND(D15,2)</f>
        <v/>
      </c>
    </row>
    <row r="16">
      <c r="A16" s="28">
        <f>'04_Pillar_Calculation'!A16</f>
        <v/>
      </c>
      <c r="B16" s="28">
        <f>'04_Pillar_Calculation'!B16</f>
        <v/>
      </c>
      <c r="C16" s="30">
        <f>'02_Market_Inputs'!C16</f>
        <v/>
      </c>
      <c r="D16" s="10">
        <f>'04_Pillar_Calculation'!O16</f>
        <v/>
      </c>
      <c r="E16" s="12">
        <f>IF(D16&gt;='01_Model_Config'!$A$16,'01_Model_Config'!$C$16,IF(D16&gt;='01_Model_Config'!$A$17,'01_Model_Config'!$C$17,IF(D16&gt;='01_Model_Config'!$A$18,'01_Model_Config'!$C$18,IF(D16&gt;='01_Model_Config'!$A$19,'01_Model_Config'!$C$19,'01_Model_Config'!$C$20))))</f>
        <v/>
      </c>
      <c r="F16" s="12">
        <f>ROWS($D$5:D16)-1</f>
        <v/>
      </c>
      <c r="G16" s="10">
        <f>IF(F16&lt;'01_Model_Config'!$B$26,"",AVERAGE($D$5:D15))</f>
        <v/>
      </c>
      <c r="H16" s="10">
        <f>IF(F16&lt;'01_Model_Config'!$B$26,"",STDEV.S($D$5:D15))</f>
        <v/>
      </c>
      <c r="I16" s="31">
        <f>IF(F16&lt;'01_Model_Config'!$B$26,"",MIN('01_Model_Config'!$B$41,MAX(-'01_Model_Config'!$B$41,(D16-G16)/MAX(H16,'01_Model_Config'!$B$40))))</f>
        <v/>
      </c>
      <c r="J16" s="10">
        <f>ROUND(IF(F16&lt;'01_Model_Config'!$B$26,D16,MIN('01_Model_Config'!$B$28,MAX('01_Model_Config'!$B$27,MIN(D16+'01_Model_Config'!$B$42,MAX(D16-'01_Model_Config'!$B$42,'01_Model_Config'!$B$24+'01_Model_Config'!$B$25*I16))))),2)</f>
        <v/>
      </c>
      <c r="K16" s="12">
        <f>IF(J16&gt;='01_Model_Config'!$A$16,'01_Model_Config'!$C$16,IF(J16&gt;='01_Model_Config'!$A$17,'01_Model_Config'!$C$17,IF(J16&gt;='01_Model_Config'!$A$18,'01_Model_Config'!$C$18,IF(J16&gt;='01_Model_Config'!$A$19,'01_Model_Config'!$C$19,'01_Model_Config'!$C$20))))</f>
        <v/>
      </c>
      <c r="L16" s="12">
        <f>IF(J16&gt;='01_Model_Config'!$A$16,'01_Model_Config'!$E$16,IF(J16&gt;='01_Model_Config'!$A$17,'01_Model_Config'!$E$17,IF(J16&gt;='01_Model_Config'!$A$18,'01_Model_Config'!$E$18,IF(J16&gt;='01_Model_Config'!$A$19,'01_Model_Config'!$E$19,'01_Model_Config'!$E$20))))</f>
        <v/>
      </c>
      <c r="M16" s="10">
        <f>ROUND(STDEV.S('04_Pillar_Calculation'!C16:H16),2)</f>
        <v/>
      </c>
      <c r="N16" s="10">
        <f>ROUND(MAX('04_Pillar_Calculation'!C16:H16)-MIN('04_Pillar_Calculation'!C16:H16),2)</f>
        <v/>
      </c>
      <c r="O16" s="12">
        <f>IF(F16&lt;'01_Model_Config'!$B$26,"MEDIUM",IF(M16&gt;=PERCENTILE.INC($M$5:M15,0.67),"HIGH",IF(M16&lt;=PERCENTILE.INC($M$5:M15,0.33),"LOW","MEDIUM")))</f>
        <v/>
      </c>
      <c r="P16" s="12">
        <f>IF(F16&lt;'01_Model_Config'!$B$26,"HOLD",IF(D16&gt;=R16,"BUY/ACCUMULATE",IF(D16&lt;=Q16,"REDUCE/SELL","HOLD")))</f>
        <v/>
      </c>
      <c r="Q16" s="10">
        <f>IF(F16&lt;'01_Model_Config'!$B$26,"",PERCENTILE.INC($D$5:D15,0.15))</f>
        <v/>
      </c>
      <c r="R16" s="10">
        <f>IF(F16&lt;'01_Model_Config'!$B$26,"",PERCENTILE.INC($D$5:D15,0.85))</f>
        <v/>
      </c>
      <c r="S16" s="12">
        <f>ROUND(D16,2)</f>
        <v/>
      </c>
    </row>
    <row r="17">
      <c r="A17" s="28">
        <f>'04_Pillar_Calculation'!A17</f>
        <v/>
      </c>
      <c r="B17" s="28">
        <f>'04_Pillar_Calculation'!B17</f>
        <v/>
      </c>
      <c r="C17" s="30">
        <f>'02_Market_Inputs'!C17</f>
        <v/>
      </c>
      <c r="D17" s="10">
        <f>'04_Pillar_Calculation'!O17</f>
        <v/>
      </c>
      <c r="E17" s="12">
        <f>IF(D17&gt;='01_Model_Config'!$A$16,'01_Model_Config'!$C$16,IF(D17&gt;='01_Model_Config'!$A$17,'01_Model_Config'!$C$17,IF(D17&gt;='01_Model_Config'!$A$18,'01_Model_Config'!$C$18,IF(D17&gt;='01_Model_Config'!$A$19,'01_Model_Config'!$C$19,'01_Model_Config'!$C$20))))</f>
        <v/>
      </c>
      <c r="F17" s="12">
        <f>ROWS($D$5:D17)-1</f>
        <v/>
      </c>
      <c r="G17" s="10">
        <f>IF(F17&lt;'01_Model_Config'!$B$26,"",AVERAGE($D$5:D16))</f>
        <v/>
      </c>
      <c r="H17" s="10">
        <f>IF(F17&lt;'01_Model_Config'!$B$26,"",STDEV.S($D$5:D16))</f>
        <v/>
      </c>
      <c r="I17" s="31">
        <f>IF(F17&lt;'01_Model_Config'!$B$26,"",MIN('01_Model_Config'!$B$41,MAX(-'01_Model_Config'!$B$41,(D17-G17)/MAX(H17,'01_Model_Config'!$B$40))))</f>
        <v/>
      </c>
      <c r="J17" s="10">
        <f>ROUND(IF(F17&lt;'01_Model_Config'!$B$26,D17,MIN('01_Model_Config'!$B$28,MAX('01_Model_Config'!$B$27,MIN(D17+'01_Model_Config'!$B$42,MAX(D17-'01_Model_Config'!$B$42,'01_Model_Config'!$B$24+'01_Model_Config'!$B$25*I17))))),2)</f>
        <v/>
      </c>
      <c r="K17" s="12">
        <f>IF(J17&gt;='01_Model_Config'!$A$16,'01_Model_Config'!$C$16,IF(J17&gt;='01_Model_Config'!$A$17,'01_Model_Config'!$C$17,IF(J17&gt;='01_Model_Config'!$A$18,'01_Model_Config'!$C$18,IF(J17&gt;='01_Model_Config'!$A$19,'01_Model_Config'!$C$19,'01_Model_Config'!$C$20))))</f>
        <v/>
      </c>
      <c r="L17" s="12">
        <f>IF(J17&gt;='01_Model_Config'!$A$16,'01_Model_Config'!$E$16,IF(J17&gt;='01_Model_Config'!$A$17,'01_Model_Config'!$E$17,IF(J17&gt;='01_Model_Config'!$A$18,'01_Model_Config'!$E$18,IF(J17&gt;='01_Model_Config'!$A$19,'01_Model_Config'!$E$19,'01_Model_Config'!$E$20))))</f>
        <v/>
      </c>
      <c r="M17" s="10">
        <f>ROUND(STDEV.S('04_Pillar_Calculation'!C17:H17),2)</f>
        <v/>
      </c>
      <c r="N17" s="10">
        <f>ROUND(MAX('04_Pillar_Calculation'!C17:H17)-MIN('04_Pillar_Calculation'!C17:H17),2)</f>
        <v/>
      </c>
      <c r="O17" s="12">
        <f>IF(F17&lt;'01_Model_Config'!$B$26,"MEDIUM",IF(M17&gt;=PERCENTILE.INC($M$5:M16,0.67),"HIGH",IF(M17&lt;=PERCENTILE.INC($M$5:M16,0.33),"LOW","MEDIUM")))</f>
        <v/>
      </c>
      <c r="P17" s="12">
        <f>IF(F17&lt;'01_Model_Config'!$B$26,"HOLD",IF(D17&gt;=R17,"BUY/ACCUMULATE",IF(D17&lt;=Q17,"REDUCE/SELL","HOLD")))</f>
        <v/>
      </c>
      <c r="Q17" s="10">
        <f>IF(F17&lt;'01_Model_Config'!$B$26,"",PERCENTILE.INC($D$5:D16,0.15))</f>
        <v/>
      </c>
      <c r="R17" s="10">
        <f>IF(F17&lt;'01_Model_Config'!$B$26,"",PERCENTILE.INC($D$5:D16,0.85))</f>
        <v/>
      </c>
      <c r="S17" s="12">
        <f>ROUND(D17,2)</f>
        <v/>
      </c>
    </row>
    <row r="18">
      <c r="A18" s="28">
        <f>'04_Pillar_Calculation'!A18</f>
        <v/>
      </c>
      <c r="B18" s="28">
        <f>'04_Pillar_Calculation'!B18</f>
        <v/>
      </c>
      <c r="C18" s="30">
        <f>'02_Market_Inputs'!C18</f>
        <v/>
      </c>
      <c r="D18" s="10">
        <f>'04_Pillar_Calculation'!O18</f>
        <v/>
      </c>
      <c r="E18" s="12">
        <f>IF(D18&gt;='01_Model_Config'!$A$16,'01_Model_Config'!$C$16,IF(D18&gt;='01_Model_Config'!$A$17,'01_Model_Config'!$C$17,IF(D18&gt;='01_Model_Config'!$A$18,'01_Model_Config'!$C$18,IF(D18&gt;='01_Model_Config'!$A$19,'01_Model_Config'!$C$19,'01_Model_Config'!$C$20))))</f>
        <v/>
      </c>
      <c r="F18" s="12">
        <f>ROWS($D$5:D18)-1</f>
        <v/>
      </c>
      <c r="G18" s="10">
        <f>IF(F18&lt;'01_Model_Config'!$B$26,"",AVERAGE($D$5:D17))</f>
        <v/>
      </c>
      <c r="H18" s="10">
        <f>IF(F18&lt;'01_Model_Config'!$B$26,"",STDEV.S($D$5:D17))</f>
        <v/>
      </c>
      <c r="I18" s="31">
        <f>IF(F18&lt;'01_Model_Config'!$B$26,"",MIN('01_Model_Config'!$B$41,MAX(-'01_Model_Config'!$B$41,(D18-G18)/MAX(H18,'01_Model_Config'!$B$40))))</f>
        <v/>
      </c>
      <c r="J18" s="10">
        <f>ROUND(IF(F18&lt;'01_Model_Config'!$B$26,D18,MIN('01_Model_Config'!$B$28,MAX('01_Model_Config'!$B$27,MIN(D18+'01_Model_Config'!$B$42,MAX(D18-'01_Model_Config'!$B$42,'01_Model_Config'!$B$24+'01_Model_Config'!$B$25*I18))))),2)</f>
        <v/>
      </c>
      <c r="K18" s="12">
        <f>IF(J18&gt;='01_Model_Config'!$A$16,'01_Model_Config'!$C$16,IF(J18&gt;='01_Model_Config'!$A$17,'01_Model_Config'!$C$17,IF(J18&gt;='01_Model_Config'!$A$18,'01_Model_Config'!$C$18,IF(J18&gt;='01_Model_Config'!$A$19,'01_Model_Config'!$C$19,'01_Model_Config'!$C$20))))</f>
        <v/>
      </c>
      <c r="L18" s="12">
        <f>IF(J18&gt;='01_Model_Config'!$A$16,'01_Model_Config'!$E$16,IF(J18&gt;='01_Model_Config'!$A$17,'01_Model_Config'!$E$17,IF(J18&gt;='01_Model_Config'!$A$18,'01_Model_Config'!$E$18,IF(J18&gt;='01_Model_Config'!$A$19,'01_Model_Config'!$E$19,'01_Model_Config'!$E$20))))</f>
        <v/>
      </c>
      <c r="M18" s="10">
        <f>ROUND(STDEV.S('04_Pillar_Calculation'!C18:H18),2)</f>
        <v/>
      </c>
      <c r="N18" s="10">
        <f>ROUND(MAX('04_Pillar_Calculation'!C18:H18)-MIN('04_Pillar_Calculation'!C18:H18),2)</f>
        <v/>
      </c>
      <c r="O18" s="12">
        <f>IF(F18&lt;'01_Model_Config'!$B$26,"MEDIUM",IF(M18&gt;=PERCENTILE.INC($M$5:M17,0.67),"HIGH",IF(M18&lt;=PERCENTILE.INC($M$5:M17,0.33),"LOW","MEDIUM")))</f>
        <v/>
      </c>
      <c r="P18" s="12">
        <f>IF(F18&lt;'01_Model_Config'!$B$26,"HOLD",IF(D18&gt;=R18,"BUY/ACCUMULATE",IF(D18&lt;=Q18,"REDUCE/SELL","HOLD")))</f>
        <v/>
      </c>
      <c r="Q18" s="10">
        <f>IF(F18&lt;'01_Model_Config'!$B$26,"",PERCENTILE.INC($D$5:D17,0.15))</f>
        <v/>
      </c>
      <c r="R18" s="10">
        <f>IF(F18&lt;'01_Model_Config'!$B$26,"",PERCENTILE.INC($D$5:D17,0.85))</f>
        <v/>
      </c>
      <c r="S18" s="12">
        <f>ROUND(D18,2)</f>
        <v/>
      </c>
    </row>
    <row r="19">
      <c r="A19" s="28">
        <f>'04_Pillar_Calculation'!A19</f>
        <v/>
      </c>
      <c r="B19" s="28">
        <f>'04_Pillar_Calculation'!B19</f>
        <v/>
      </c>
      <c r="C19" s="30">
        <f>'02_Market_Inputs'!C19</f>
        <v/>
      </c>
      <c r="D19" s="10">
        <f>'04_Pillar_Calculation'!O19</f>
        <v/>
      </c>
      <c r="E19" s="12">
        <f>IF(D19&gt;='01_Model_Config'!$A$16,'01_Model_Config'!$C$16,IF(D19&gt;='01_Model_Config'!$A$17,'01_Model_Config'!$C$17,IF(D19&gt;='01_Model_Config'!$A$18,'01_Model_Config'!$C$18,IF(D19&gt;='01_Model_Config'!$A$19,'01_Model_Config'!$C$19,'01_Model_Config'!$C$20))))</f>
        <v/>
      </c>
      <c r="F19" s="12">
        <f>ROWS($D$5:D19)-1</f>
        <v/>
      </c>
      <c r="G19" s="10">
        <f>IF(F19&lt;'01_Model_Config'!$B$26,"",AVERAGE($D$5:D18))</f>
        <v/>
      </c>
      <c r="H19" s="10">
        <f>IF(F19&lt;'01_Model_Config'!$B$26,"",STDEV.S($D$5:D18))</f>
        <v/>
      </c>
      <c r="I19" s="31">
        <f>IF(F19&lt;'01_Model_Config'!$B$26,"",MIN('01_Model_Config'!$B$41,MAX(-'01_Model_Config'!$B$41,(D19-G19)/MAX(H19,'01_Model_Config'!$B$40))))</f>
        <v/>
      </c>
      <c r="J19" s="10">
        <f>ROUND(IF(F19&lt;'01_Model_Config'!$B$26,D19,MIN('01_Model_Config'!$B$28,MAX('01_Model_Config'!$B$27,MIN(D19+'01_Model_Config'!$B$42,MAX(D19-'01_Model_Config'!$B$42,'01_Model_Config'!$B$24+'01_Model_Config'!$B$25*I19))))),2)</f>
        <v/>
      </c>
      <c r="K19" s="12">
        <f>IF(J19&gt;='01_Model_Config'!$A$16,'01_Model_Config'!$C$16,IF(J19&gt;='01_Model_Config'!$A$17,'01_Model_Config'!$C$17,IF(J19&gt;='01_Model_Config'!$A$18,'01_Model_Config'!$C$18,IF(J19&gt;='01_Model_Config'!$A$19,'01_Model_Config'!$C$19,'01_Model_Config'!$C$20))))</f>
        <v/>
      </c>
      <c r="L19" s="12">
        <f>IF(J19&gt;='01_Model_Config'!$A$16,'01_Model_Config'!$E$16,IF(J19&gt;='01_Model_Config'!$A$17,'01_Model_Config'!$E$17,IF(J19&gt;='01_Model_Config'!$A$18,'01_Model_Config'!$E$18,IF(J19&gt;='01_Model_Config'!$A$19,'01_Model_Config'!$E$19,'01_Model_Config'!$E$20))))</f>
        <v/>
      </c>
      <c r="M19" s="10">
        <f>ROUND(STDEV.S('04_Pillar_Calculation'!C19:H19),2)</f>
        <v/>
      </c>
      <c r="N19" s="10">
        <f>ROUND(MAX('04_Pillar_Calculation'!C19:H19)-MIN('04_Pillar_Calculation'!C19:H19),2)</f>
        <v/>
      </c>
      <c r="O19" s="12">
        <f>IF(F19&lt;'01_Model_Config'!$B$26,"MEDIUM",IF(M19&gt;=PERCENTILE.INC($M$5:M18,0.67),"HIGH",IF(M19&lt;=PERCENTILE.INC($M$5:M18,0.33),"LOW","MEDIUM")))</f>
        <v/>
      </c>
      <c r="P19" s="12">
        <f>IF(F19&lt;'01_Model_Config'!$B$26,"HOLD",IF(D19&gt;=R19,"BUY/ACCUMULATE",IF(D19&lt;=Q19,"REDUCE/SELL","HOLD")))</f>
        <v/>
      </c>
      <c r="Q19" s="10">
        <f>IF(F19&lt;'01_Model_Config'!$B$26,"",PERCENTILE.INC($D$5:D18,0.15))</f>
        <v/>
      </c>
      <c r="R19" s="10">
        <f>IF(F19&lt;'01_Model_Config'!$B$26,"",PERCENTILE.INC($D$5:D18,0.85))</f>
        <v/>
      </c>
      <c r="S19" s="12">
        <f>ROUND(D19,2)</f>
        <v/>
      </c>
    </row>
    <row r="20">
      <c r="A20" s="28">
        <f>'04_Pillar_Calculation'!A20</f>
        <v/>
      </c>
      <c r="B20" s="28">
        <f>'04_Pillar_Calculation'!B20</f>
        <v/>
      </c>
      <c r="C20" s="30">
        <f>'02_Market_Inputs'!C20</f>
        <v/>
      </c>
      <c r="D20" s="10">
        <f>'04_Pillar_Calculation'!O20</f>
        <v/>
      </c>
      <c r="E20" s="12">
        <f>IF(D20&gt;='01_Model_Config'!$A$16,'01_Model_Config'!$C$16,IF(D20&gt;='01_Model_Config'!$A$17,'01_Model_Config'!$C$17,IF(D20&gt;='01_Model_Config'!$A$18,'01_Model_Config'!$C$18,IF(D20&gt;='01_Model_Config'!$A$19,'01_Model_Config'!$C$19,'01_Model_Config'!$C$20))))</f>
        <v/>
      </c>
      <c r="F20" s="12">
        <f>ROWS($D$5:D20)-1</f>
        <v/>
      </c>
      <c r="G20" s="10">
        <f>IF(F20&lt;'01_Model_Config'!$B$26,"",AVERAGE($D$5:D19))</f>
        <v/>
      </c>
      <c r="H20" s="10">
        <f>IF(F20&lt;'01_Model_Config'!$B$26,"",STDEV.S($D$5:D19))</f>
        <v/>
      </c>
      <c r="I20" s="31">
        <f>IF(F20&lt;'01_Model_Config'!$B$26,"",MIN('01_Model_Config'!$B$41,MAX(-'01_Model_Config'!$B$41,(D20-G20)/MAX(H20,'01_Model_Config'!$B$40))))</f>
        <v/>
      </c>
      <c r="J20" s="10">
        <f>ROUND(IF(F20&lt;'01_Model_Config'!$B$26,D20,MIN('01_Model_Config'!$B$28,MAX('01_Model_Config'!$B$27,MIN(D20+'01_Model_Config'!$B$42,MAX(D20-'01_Model_Config'!$B$42,'01_Model_Config'!$B$24+'01_Model_Config'!$B$25*I20))))),2)</f>
        <v/>
      </c>
      <c r="K20" s="12">
        <f>IF(J20&gt;='01_Model_Config'!$A$16,'01_Model_Config'!$C$16,IF(J20&gt;='01_Model_Config'!$A$17,'01_Model_Config'!$C$17,IF(J20&gt;='01_Model_Config'!$A$18,'01_Model_Config'!$C$18,IF(J20&gt;='01_Model_Config'!$A$19,'01_Model_Config'!$C$19,'01_Model_Config'!$C$20))))</f>
        <v/>
      </c>
      <c r="L20" s="12">
        <f>IF(J20&gt;='01_Model_Config'!$A$16,'01_Model_Config'!$E$16,IF(J20&gt;='01_Model_Config'!$A$17,'01_Model_Config'!$E$17,IF(J20&gt;='01_Model_Config'!$A$18,'01_Model_Config'!$E$18,IF(J20&gt;='01_Model_Config'!$A$19,'01_Model_Config'!$E$19,'01_Model_Config'!$E$20))))</f>
        <v/>
      </c>
      <c r="M20" s="10">
        <f>ROUND(STDEV.S('04_Pillar_Calculation'!C20:H20),2)</f>
        <v/>
      </c>
      <c r="N20" s="10">
        <f>ROUND(MAX('04_Pillar_Calculation'!C20:H20)-MIN('04_Pillar_Calculation'!C20:H20),2)</f>
        <v/>
      </c>
      <c r="O20" s="12">
        <f>IF(F20&lt;'01_Model_Config'!$B$26,"MEDIUM",IF(M20&gt;=PERCENTILE.INC($M$5:M19,0.67),"HIGH",IF(M20&lt;=PERCENTILE.INC($M$5:M19,0.33),"LOW","MEDIUM")))</f>
        <v/>
      </c>
      <c r="P20" s="12">
        <f>IF(F20&lt;'01_Model_Config'!$B$26,"HOLD",IF(D20&gt;=R20,"BUY/ACCUMULATE",IF(D20&lt;=Q20,"REDUCE/SELL","HOLD")))</f>
        <v/>
      </c>
      <c r="Q20" s="10">
        <f>IF(F20&lt;'01_Model_Config'!$B$26,"",PERCENTILE.INC($D$5:D19,0.15))</f>
        <v/>
      </c>
      <c r="R20" s="10">
        <f>IF(F20&lt;'01_Model_Config'!$B$26,"",PERCENTILE.INC($D$5:D19,0.85))</f>
        <v/>
      </c>
      <c r="S20" s="12">
        <f>ROUND(D20,2)</f>
        <v/>
      </c>
    </row>
    <row r="21">
      <c r="A21" s="28">
        <f>'04_Pillar_Calculation'!A21</f>
        <v/>
      </c>
      <c r="B21" s="28">
        <f>'04_Pillar_Calculation'!B21</f>
        <v/>
      </c>
      <c r="C21" s="30">
        <f>'02_Market_Inputs'!C21</f>
        <v/>
      </c>
      <c r="D21" s="10">
        <f>'04_Pillar_Calculation'!O21</f>
        <v/>
      </c>
      <c r="E21" s="12">
        <f>IF(D21&gt;='01_Model_Config'!$A$16,'01_Model_Config'!$C$16,IF(D21&gt;='01_Model_Config'!$A$17,'01_Model_Config'!$C$17,IF(D21&gt;='01_Model_Config'!$A$18,'01_Model_Config'!$C$18,IF(D21&gt;='01_Model_Config'!$A$19,'01_Model_Config'!$C$19,'01_Model_Config'!$C$20))))</f>
        <v/>
      </c>
      <c r="F21" s="12">
        <f>ROWS($D$5:D21)-1</f>
        <v/>
      </c>
      <c r="G21" s="10">
        <f>IF(F21&lt;'01_Model_Config'!$B$26,"",AVERAGE($D$5:D20))</f>
        <v/>
      </c>
      <c r="H21" s="10">
        <f>IF(F21&lt;'01_Model_Config'!$B$26,"",STDEV.S($D$5:D20))</f>
        <v/>
      </c>
      <c r="I21" s="31">
        <f>IF(F21&lt;'01_Model_Config'!$B$26,"",MIN('01_Model_Config'!$B$41,MAX(-'01_Model_Config'!$B$41,(D21-G21)/MAX(H21,'01_Model_Config'!$B$40))))</f>
        <v/>
      </c>
      <c r="J21" s="10">
        <f>ROUND(IF(F21&lt;'01_Model_Config'!$B$26,D21,MIN('01_Model_Config'!$B$28,MAX('01_Model_Config'!$B$27,MIN(D21+'01_Model_Config'!$B$42,MAX(D21-'01_Model_Config'!$B$42,'01_Model_Config'!$B$24+'01_Model_Config'!$B$25*I21))))),2)</f>
        <v/>
      </c>
      <c r="K21" s="12">
        <f>IF(J21&gt;='01_Model_Config'!$A$16,'01_Model_Config'!$C$16,IF(J21&gt;='01_Model_Config'!$A$17,'01_Model_Config'!$C$17,IF(J21&gt;='01_Model_Config'!$A$18,'01_Model_Config'!$C$18,IF(J21&gt;='01_Model_Config'!$A$19,'01_Model_Config'!$C$19,'01_Model_Config'!$C$20))))</f>
        <v/>
      </c>
      <c r="L21" s="12">
        <f>IF(J21&gt;='01_Model_Config'!$A$16,'01_Model_Config'!$E$16,IF(J21&gt;='01_Model_Config'!$A$17,'01_Model_Config'!$E$17,IF(J21&gt;='01_Model_Config'!$A$18,'01_Model_Config'!$E$18,IF(J21&gt;='01_Model_Config'!$A$19,'01_Model_Config'!$E$19,'01_Model_Config'!$E$20))))</f>
        <v/>
      </c>
      <c r="M21" s="10">
        <f>ROUND(STDEV.S('04_Pillar_Calculation'!C21:H21),2)</f>
        <v/>
      </c>
      <c r="N21" s="10">
        <f>ROUND(MAX('04_Pillar_Calculation'!C21:H21)-MIN('04_Pillar_Calculation'!C21:H21),2)</f>
        <v/>
      </c>
      <c r="O21" s="12">
        <f>IF(F21&lt;'01_Model_Config'!$B$26,"MEDIUM",IF(M21&gt;=PERCENTILE.INC($M$5:M20,0.67),"HIGH",IF(M21&lt;=PERCENTILE.INC($M$5:M20,0.33),"LOW","MEDIUM")))</f>
        <v/>
      </c>
      <c r="P21" s="12">
        <f>IF(F21&lt;'01_Model_Config'!$B$26,"HOLD",IF(D21&gt;=R21,"BUY/ACCUMULATE",IF(D21&lt;=Q21,"REDUCE/SELL","HOLD")))</f>
        <v/>
      </c>
      <c r="Q21" s="10">
        <f>IF(F21&lt;'01_Model_Config'!$B$26,"",PERCENTILE.INC($D$5:D20,0.15))</f>
        <v/>
      </c>
      <c r="R21" s="10">
        <f>IF(F21&lt;'01_Model_Config'!$B$26,"",PERCENTILE.INC($D$5:D20,0.85))</f>
        <v/>
      </c>
      <c r="S21" s="12">
        <f>ROUND(D21,2)</f>
        <v/>
      </c>
    </row>
    <row r="22">
      <c r="A22" s="28">
        <f>'04_Pillar_Calculation'!A22</f>
        <v/>
      </c>
      <c r="B22" s="28">
        <f>'04_Pillar_Calculation'!B22</f>
        <v/>
      </c>
      <c r="C22" s="30">
        <f>'02_Market_Inputs'!C22</f>
        <v/>
      </c>
      <c r="D22" s="10">
        <f>'04_Pillar_Calculation'!O22</f>
        <v/>
      </c>
      <c r="E22" s="12">
        <f>IF(D22&gt;='01_Model_Config'!$A$16,'01_Model_Config'!$C$16,IF(D22&gt;='01_Model_Config'!$A$17,'01_Model_Config'!$C$17,IF(D22&gt;='01_Model_Config'!$A$18,'01_Model_Config'!$C$18,IF(D22&gt;='01_Model_Config'!$A$19,'01_Model_Config'!$C$19,'01_Model_Config'!$C$20))))</f>
        <v/>
      </c>
      <c r="F22" s="12">
        <f>ROWS($D$5:D22)-1</f>
        <v/>
      </c>
      <c r="G22" s="10">
        <f>IF(F22&lt;'01_Model_Config'!$B$26,"",AVERAGE($D$5:D21))</f>
        <v/>
      </c>
      <c r="H22" s="10">
        <f>IF(F22&lt;'01_Model_Config'!$B$26,"",STDEV.S($D$5:D21))</f>
        <v/>
      </c>
      <c r="I22" s="31">
        <f>IF(F22&lt;'01_Model_Config'!$B$26,"",MIN('01_Model_Config'!$B$41,MAX(-'01_Model_Config'!$B$41,(D22-G22)/MAX(H22,'01_Model_Config'!$B$40))))</f>
        <v/>
      </c>
      <c r="J22" s="10">
        <f>ROUND(IF(F22&lt;'01_Model_Config'!$B$26,D22,MIN('01_Model_Config'!$B$28,MAX('01_Model_Config'!$B$27,MIN(D22+'01_Model_Config'!$B$42,MAX(D22-'01_Model_Config'!$B$42,'01_Model_Config'!$B$24+'01_Model_Config'!$B$25*I22))))),2)</f>
        <v/>
      </c>
      <c r="K22" s="12">
        <f>IF(J22&gt;='01_Model_Config'!$A$16,'01_Model_Config'!$C$16,IF(J22&gt;='01_Model_Config'!$A$17,'01_Model_Config'!$C$17,IF(J22&gt;='01_Model_Config'!$A$18,'01_Model_Config'!$C$18,IF(J22&gt;='01_Model_Config'!$A$19,'01_Model_Config'!$C$19,'01_Model_Config'!$C$20))))</f>
        <v/>
      </c>
      <c r="L22" s="12">
        <f>IF(J22&gt;='01_Model_Config'!$A$16,'01_Model_Config'!$E$16,IF(J22&gt;='01_Model_Config'!$A$17,'01_Model_Config'!$E$17,IF(J22&gt;='01_Model_Config'!$A$18,'01_Model_Config'!$E$18,IF(J22&gt;='01_Model_Config'!$A$19,'01_Model_Config'!$E$19,'01_Model_Config'!$E$20))))</f>
        <v/>
      </c>
      <c r="M22" s="10">
        <f>ROUND(STDEV.S('04_Pillar_Calculation'!C22:H22),2)</f>
        <v/>
      </c>
      <c r="N22" s="10">
        <f>ROUND(MAX('04_Pillar_Calculation'!C22:H22)-MIN('04_Pillar_Calculation'!C22:H22),2)</f>
        <v/>
      </c>
      <c r="O22" s="12">
        <f>IF(F22&lt;'01_Model_Config'!$B$26,"MEDIUM",IF(M22&gt;=PERCENTILE.INC($M$5:M21,0.67),"HIGH",IF(M22&lt;=PERCENTILE.INC($M$5:M21,0.33),"LOW","MEDIUM")))</f>
        <v/>
      </c>
      <c r="P22" s="12">
        <f>IF(F22&lt;'01_Model_Config'!$B$26,"HOLD",IF(D22&gt;=R22,"BUY/ACCUMULATE",IF(D22&lt;=Q22,"REDUCE/SELL","HOLD")))</f>
        <v/>
      </c>
      <c r="Q22" s="10">
        <f>IF(F22&lt;'01_Model_Config'!$B$26,"",PERCENTILE.INC($D$5:D21,0.15))</f>
        <v/>
      </c>
      <c r="R22" s="10">
        <f>IF(F22&lt;'01_Model_Config'!$B$26,"",PERCENTILE.INC($D$5:D21,0.85))</f>
        <v/>
      </c>
      <c r="S22" s="12">
        <f>ROUND(D22,2)</f>
        <v/>
      </c>
    </row>
    <row r="23">
      <c r="A23" s="28">
        <f>'04_Pillar_Calculation'!A23</f>
        <v/>
      </c>
      <c r="B23" s="28">
        <f>'04_Pillar_Calculation'!B23</f>
        <v/>
      </c>
      <c r="C23" s="30">
        <f>'02_Market_Inputs'!C23</f>
        <v/>
      </c>
      <c r="D23" s="10">
        <f>'04_Pillar_Calculation'!O23</f>
        <v/>
      </c>
      <c r="E23" s="12">
        <f>IF(D23&gt;='01_Model_Config'!$A$16,'01_Model_Config'!$C$16,IF(D23&gt;='01_Model_Config'!$A$17,'01_Model_Config'!$C$17,IF(D23&gt;='01_Model_Config'!$A$18,'01_Model_Config'!$C$18,IF(D23&gt;='01_Model_Config'!$A$19,'01_Model_Config'!$C$19,'01_Model_Config'!$C$20))))</f>
        <v/>
      </c>
      <c r="F23" s="12">
        <f>ROWS($D$5:D23)-1</f>
        <v/>
      </c>
      <c r="G23" s="10">
        <f>IF(F23&lt;'01_Model_Config'!$B$26,"",AVERAGE($D$5:D22))</f>
        <v/>
      </c>
      <c r="H23" s="10">
        <f>IF(F23&lt;'01_Model_Config'!$B$26,"",STDEV.S($D$5:D22))</f>
        <v/>
      </c>
      <c r="I23" s="31">
        <f>IF(F23&lt;'01_Model_Config'!$B$26,"",MIN('01_Model_Config'!$B$41,MAX(-'01_Model_Config'!$B$41,(D23-G23)/MAX(H23,'01_Model_Config'!$B$40))))</f>
        <v/>
      </c>
      <c r="J23" s="10">
        <f>ROUND(IF(F23&lt;'01_Model_Config'!$B$26,D23,MIN('01_Model_Config'!$B$28,MAX('01_Model_Config'!$B$27,MIN(D23+'01_Model_Config'!$B$42,MAX(D23-'01_Model_Config'!$B$42,'01_Model_Config'!$B$24+'01_Model_Config'!$B$25*I23))))),2)</f>
        <v/>
      </c>
      <c r="K23" s="12">
        <f>IF(J23&gt;='01_Model_Config'!$A$16,'01_Model_Config'!$C$16,IF(J23&gt;='01_Model_Config'!$A$17,'01_Model_Config'!$C$17,IF(J23&gt;='01_Model_Config'!$A$18,'01_Model_Config'!$C$18,IF(J23&gt;='01_Model_Config'!$A$19,'01_Model_Config'!$C$19,'01_Model_Config'!$C$20))))</f>
        <v/>
      </c>
      <c r="L23" s="12">
        <f>IF(J23&gt;='01_Model_Config'!$A$16,'01_Model_Config'!$E$16,IF(J23&gt;='01_Model_Config'!$A$17,'01_Model_Config'!$E$17,IF(J23&gt;='01_Model_Config'!$A$18,'01_Model_Config'!$E$18,IF(J23&gt;='01_Model_Config'!$A$19,'01_Model_Config'!$E$19,'01_Model_Config'!$E$20))))</f>
        <v/>
      </c>
      <c r="M23" s="10">
        <f>ROUND(STDEV.S('04_Pillar_Calculation'!C23:H23),2)</f>
        <v/>
      </c>
      <c r="N23" s="10">
        <f>ROUND(MAX('04_Pillar_Calculation'!C23:H23)-MIN('04_Pillar_Calculation'!C23:H23),2)</f>
        <v/>
      </c>
      <c r="O23" s="12">
        <f>IF(F23&lt;'01_Model_Config'!$B$26,"MEDIUM",IF(M23&gt;=PERCENTILE.INC($M$5:M22,0.67),"HIGH",IF(M23&lt;=PERCENTILE.INC($M$5:M22,0.33),"LOW","MEDIUM")))</f>
        <v/>
      </c>
      <c r="P23" s="12">
        <f>IF(F23&lt;'01_Model_Config'!$B$26,"HOLD",IF(D23&gt;=R23,"BUY/ACCUMULATE",IF(D23&lt;=Q23,"REDUCE/SELL","HOLD")))</f>
        <v/>
      </c>
      <c r="Q23" s="10">
        <f>IF(F23&lt;'01_Model_Config'!$B$26,"",PERCENTILE.INC($D$5:D22,0.15))</f>
        <v/>
      </c>
      <c r="R23" s="10">
        <f>IF(F23&lt;'01_Model_Config'!$B$26,"",PERCENTILE.INC($D$5:D22,0.85))</f>
        <v/>
      </c>
      <c r="S23" s="12">
        <f>ROUND(D23,2)</f>
        <v/>
      </c>
    </row>
    <row r="24">
      <c r="A24" s="28">
        <f>'04_Pillar_Calculation'!A24</f>
        <v/>
      </c>
      <c r="B24" s="28">
        <f>'04_Pillar_Calculation'!B24</f>
        <v/>
      </c>
      <c r="C24" s="30">
        <f>'02_Market_Inputs'!C24</f>
        <v/>
      </c>
      <c r="D24" s="10">
        <f>'04_Pillar_Calculation'!O24</f>
        <v/>
      </c>
      <c r="E24" s="12">
        <f>IF(D24&gt;='01_Model_Config'!$A$16,'01_Model_Config'!$C$16,IF(D24&gt;='01_Model_Config'!$A$17,'01_Model_Config'!$C$17,IF(D24&gt;='01_Model_Config'!$A$18,'01_Model_Config'!$C$18,IF(D24&gt;='01_Model_Config'!$A$19,'01_Model_Config'!$C$19,'01_Model_Config'!$C$20))))</f>
        <v/>
      </c>
      <c r="F24" s="12">
        <f>ROWS($D$5:D24)-1</f>
        <v/>
      </c>
      <c r="G24" s="10">
        <f>IF(F24&lt;'01_Model_Config'!$B$26,"",AVERAGE($D$5:D23))</f>
        <v/>
      </c>
      <c r="H24" s="10">
        <f>IF(F24&lt;'01_Model_Config'!$B$26,"",STDEV.S($D$5:D23))</f>
        <v/>
      </c>
      <c r="I24" s="31">
        <f>IF(F24&lt;'01_Model_Config'!$B$26,"",MIN('01_Model_Config'!$B$41,MAX(-'01_Model_Config'!$B$41,(D24-G24)/MAX(H24,'01_Model_Config'!$B$40))))</f>
        <v/>
      </c>
      <c r="J24" s="10">
        <f>ROUND(IF(F24&lt;'01_Model_Config'!$B$26,D24,MIN('01_Model_Config'!$B$28,MAX('01_Model_Config'!$B$27,MIN(D24+'01_Model_Config'!$B$42,MAX(D24-'01_Model_Config'!$B$42,'01_Model_Config'!$B$24+'01_Model_Config'!$B$25*I24))))),2)</f>
        <v/>
      </c>
      <c r="K24" s="12">
        <f>IF(J24&gt;='01_Model_Config'!$A$16,'01_Model_Config'!$C$16,IF(J24&gt;='01_Model_Config'!$A$17,'01_Model_Config'!$C$17,IF(J24&gt;='01_Model_Config'!$A$18,'01_Model_Config'!$C$18,IF(J24&gt;='01_Model_Config'!$A$19,'01_Model_Config'!$C$19,'01_Model_Config'!$C$20))))</f>
        <v/>
      </c>
      <c r="L24" s="12">
        <f>IF(J24&gt;='01_Model_Config'!$A$16,'01_Model_Config'!$E$16,IF(J24&gt;='01_Model_Config'!$A$17,'01_Model_Config'!$E$17,IF(J24&gt;='01_Model_Config'!$A$18,'01_Model_Config'!$E$18,IF(J24&gt;='01_Model_Config'!$A$19,'01_Model_Config'!$E$19,'01_Model_Config'!$E$20))))</f>
        <v/>
      </c>
      <c r="M24" s="10">
        <f>ROUND(STDEV.S('04_Pillar_Calculation'!C24:H24),2)</f>
        <v/>
      </c>
      <c r="N24" s="10">
        <f>ROUND(MAX('04_Pillar_Calculation'!C24:H24)-MIN('04_Pillar_Calculation'!C24:H24),2)</f>
        <v/>
      </c>
      <c r="O24" s="12">
        <f>IF(F24&lt;'01_Model_Config'!$B$26,"MEDIUM",IF(M24&gt;=PERCENTILE.INC($M$5:M23,0.67),"HIGH",IF(M24&lt;=PERCENTILE.INC($M$5:M23,0.33),"LOW","MEDIUM")))</f>
        <v/>
      </c>
      <c r="P24" s="12">
        <f>IF(F24&lt;'01_Model_Config'!$B$26,"HOLD",IF(D24&gt;=R24,"BUY/ACCUMULATE",IF(D24&lt;=Q24,"REDUCE/SELL","HOLD")))</f>
        <v/>
      </c>
      <c r="Q24" s="10">
        <f>IF(F24&lt;'01_Model_Config'!$B$26,"",PERCENTILE.INC($D$5:D23,0.15))</f>
        <v/>
      </c>
      <c r="R24" s="10">
        <f>IF(F24&lt;'01_Model_Config'!$B$26,"",PERCENTILE.INC($D$5:D23,0.85))</f>
        <v/>
      </c>
      <c r="S24" s="12">
        <f>ROUND(D24,2)</f>
        <v/>
      </c>
    </row>
    <row r="25">
      <c r="A25" s="28">
        <f>'04_Pillar_Calculation'!A25</f>
        <v/>
      </c>
      <c r="B25" s="28">
        <f>'04_Pillar_Calculation'!B25</f>
        <v/>
      </c>
      <c r="C25" s="30">
        <f>'02_Market_Inputs'!C25</f>
        <v/>
      </c>
      <c r="D25" s="10">
        <f>'04_Pillar_Calculation'!O25</f>
        <v/>
      </c>
      <c r="E25" s="12">
        <f>IF(D25&gt;='01_Model_Config'!$A$16,'01_Model_Config'!$C$16,IF(D25&gt;='01_Model_Config'!$A$17,'01_Model_Config'!$C$17,IF(D25&gt;='01_Model_Config'!$A$18,'01_Model_Config'!$C$18,IF(D25&gt;='01_Model_Config'!$A$19,'01_Model_Config'!$C$19,'01_Model_Config'!$C$20))))</f>
        <v/>
      </c>
      <c r="F25" s="12">
        <f>ROWS($D$5:D25)-1</f>
        <v/>
      </c>
      <c r="G25" s="10">
        <f>IF(F25&lt;'01_Model_Config'!$B$26,"",AVERAGE($D$5:D24))</f>
        <v/>
      </c>
      <c r="H25" s="10">
        <f>IF(F25&lt;'01_Model_Config'!$B$26,"",STDEV.S($D$5:D24))</f>
        <v/>
      </c>
      <c r="I25" s="31">
        <f>IF(F25&lt;'01_Model_Config'!$B$26,"",MIN('01_Model_Config'!$B$41,MAX(-'01_Model_Config'!$B$41,(D25-G25)/MAX(H25,'01_Model_Config'!$B$40))))</f>
        <v/>
      </c>
      <c r="J25" s="10">
        <f>ROUND(IF(F25&lt;'01_Model_Config'!$B$26,D25,MIN('01_Model_Config'!$B$28,MAX('01_Model_Config'!$B$27,MIN(D25+'01_Model_Config'!$B$42,MAX(D25-'01_Model_Config'!$B$42,'01_Model_Config'!$B$24+'01_Model_Config'!$B$25*I25))))),2)</f>
        <v/>
      </c>
      <c r="K25" s="12">
        <f>IF(J25&gt;='01_Model_Config'!$A$16,'01_Model_Config'!$C$16,IF(J25&gt;='01_Model_Config'!$A$17,'01_Model_Config'!$C$17,IF(J25&gt;='01_Model_Config'!$A$18,'01_Model_Config'!$C$18,IF(J25&gt;='01_Model_Config'!$A$19,'01_Model_Config'!$C$19,'01_Model_Config'!$C$20))))</f>
        <v/>
      </c>
      <c r="L25" s="12">
        <f>IF(J25&gt;='01_Model_Config'!$A$16,'01_Model_Config'!$E$16,IF(J25&gt;='01_Model_Config'!$A$17,'01_Model_Config'!$E$17,IF(J25&gt;='01_Model_Config'!$A$18,'01_Model_Config'!$E$18,IF(J25&gt;='01_Model_Config'!$A$19,'01_Model_Config'!$E$19,'01_Model_Config'!$E$20))))</f>
        <v/>
      </c>
      <c r="M25" s="10">
        <f>ROUND(STDEV.S('04_Pillar_Calculation'!C25:H25),2)</f>
        <v/>
      </c>
      <c r="N25" s="10">
        <f>ROUND(MAX('04_Pillar_Calculation'!C25:H25)-MIN('04_Pillar_Calculation'!C25:H25),2)</f>
        <v/>
      </c>
      <c r="O25" s="12">
        <f>IF(F25&lt;'01_Model_Config'!$B$26,"MEDIUM",IF(M25&gt;=PERCENTILE.INC($M$5:M24,0.67),"HIGH",IF(M25&lt;=PERCENTILE.INC($M$5:M24,0.33),"LOW","MEDIUM")))</f>
        <v/>
      </c>
      <c r="P25" s="12">
        <f>IF(F25&lt;'01_Model_Config'!$B$26,"HOLD",IF(D25&gt;=R25,"BUY/ACCUMULATE",IF(D25&lt;=Q25,"REDUCE/SELL","HOLD")))</f>
        <v/>
      </c>
      <c r="Q25" s="10">
        <f>IF(F25&lt;'01_Model_Config'!$B$26,"",PERCENTILE.INC($D$5:D24,0.15))</f>
        <v/>
      </c>
      <c r="R25" s="10">
        <f>IF(F25&lt;'01_Model_Config'!$B$26,"",PERCENTILE.INC($D$5:D24,0.85))</f>
        <v/>
      </c>
      <c r="S25" s="12">
        <f>ROUND(D25,2)</f>
        <v/>
      </c>
    </row>
    <row r="26">
      <c r="A26" s="28">
        <f>'04_Pillar_Calculation'!A26</f>
        <v/>
      </c>
      <c r="B26" s="28">
        <f>'04_Pillar_Calculation'!B26</f>
        <v/>
      </c>
      <c r="C26" s="30">
        <f>'02_Market_Inputs'!C26</f>
        <v/>
      </c>
      <c r="D26" s="10">
        <f>'04_Pillar_Calculation'!O26</f>
        <v/>
      </c>
      <c r="E26" s="12">
        <f>IF(D26&gt;='01_Model_Config'!$A$16,'01_Model_Config'!$C$16,IF(D26&gt;='01_Model_Config'!$A$17,'01_Model_Config'!$C$17,IF(D26&gt;='01_Model_Config'!$A$18,'01_Model_Config'!$C$18,IF(D26&gt;='01_Model_Config'!$A$19,'01_Model_Config'!$C$19,'01_Model_Config'!$C$20))))</f>
        <v/>
      </c>
      <c r="F26" s="12">
        <f>ROWS($D$5:D26)-1</f>
        <v/>
      </c>
      <c r="G26" s="10">
        <f>IF(F26&lt;'01_Model_Config'!$B$26,"",AVERAGE($D$5:D25))</f>
        <v/>
      </c>
      <c r="H26" s="10">
        <f>IF(F26&lt;'01_Model_Config'!$B$26,"",STDEV.S($D$5:D25))</f>
        <v/>
      </c>
      <c r="I26" s="31">
        <f>IF(F26&lt;'01_Model_Config'!$B$26,"",MIN('01_Model_Config'!$B$41,MAX(-'01_Model_Config'!$B$41,(D26-G26)/MAX(H26,'01_Model_Config'!$B$40))))</f>
        <v/>
      </c>
      <c r="J26" s="10">
        <f>ROUND(IF(F26&lt;'01_Model_Config'!$B$26,D26,MIN('01_Model_Config'!$B$28,MAX('01_Model_Config'!$B$27,MIN(D26+'01_Model_Config'!$B$42,MAX(D26-'01_Model_Config'!$B$42,'01_Model_Config'!$B$24+'01_Model_Config'!$B$25*I26))))),2)</f>
        <v/>
      </c>
      <c r="K26" s="12">
        <f>IF(J26&gt;='01_Model_Config'!$A$16,'01_Model_Config'!$C$16,IF(J26&gt;='01_Model_Config'!$A$17,'01_Model_Config'!$C$17,IF(J26&gt;='01_Model_Config'!$A$18,'01_Model_Config'!$C$18,IF(J26&gt;='01_Model_Config'!$A$19,'01_Model_Config'!$C$19,'01_Model_Config'!$C$20))))</f>
        <v/>
      </c>
      <c r="L26" s="12">
        <f>IF(J26&gt;='01_Model_Config'!$A$16,'01_Model_Config'!$E$16,IF(J26&gt;='01_Model_Config'!$A$17,'01_Model_Config'!$E$17,IF(J26&gt;='01_Model_Config'!$A$18,'01_Model_Config'!$E$18,IF(J26&gt;='01_Model_Config'!$A$19,'01_Model_Config'!$E$19,'01_Model_Config'!$E$20))))</f>
        <v/>
      </c>
      <c r="M26" s="10">
        <f>ROUND(STDEV.S('04_Pillar_Calculation'!C26:H26),2)</f>
        <v/>
      </c>
      <c r="N26" s="10">
        <f>ROUND(MAX('04_Pillar_Calculation'!C26:H26)-MIN('04_Pillar_Calculation'!C26:H26),2)</f>
        <v/>
      </c>
      <c r="O26" s="12">
        <f>IF(F26&lt;'01_Model_Config'!$B$26,"MEDIUM",IF(M26&gt;=PERCENTILE.INC($M$5:M25,0.67),"HIGH",IF(M26&lt;=PERCENTILE.INC($M$5:M25,0.33),"LOW","MEDIUM")))</f>
        <v/>
      </c>
      <c r="P26" s="12">
        <f>IF(F26&lt;'01_Model_Config'!$B$26,"HOLD",IF(D26&gt;=R26,"BUY/ACCUMULATE",IF(D26&lt;=Q26,"REDUCE/SELL","HOLD")))</f>
        <v/>
      </c>
      <c r="Q26" s="10">
        <f>IF(F26&lt;'01_Model_Config'!$B$26,"",PERCENTILE.INC($D$5:D25,0.15))</f>
        <v/>
      </c>
      <c r="R26" s="10">
        <f>IF(F26&lt;'01_Model_Config'!$B$26,"",PERCENTILE.INC($D$5:D25,0.85))</f>
        <v/>
      </c>
      <c r="S26" s="12">
        <f>ROUND(D26,2)</f>
        <v/>
      </c>
    </row>
    <row r="27">
      <c r="A27" s="28">
        <f>'04_Pillar_Calculation'!A27</f>
        <v/>
      </c>
      <c r="B27" s="28">
        <f>'04_Pillar_Calculation'!B27</f>
        <v/>
      </c>
      <c r="C27" s="30">
        <f>'02_Market_Inputs'!C27</f>
        <v/>
      </c>
      <c r="D27" s="10">
        <f>'04_Pillar_Calculation'!O27</f>
        <v/>
      </c>
      <c r="E27" s="12">
        <f>IF(D27&gt;='01_Model_Config'!$A$16,'01_Model_Config'!$C$16,IF(D27&gt;='01_Model_Config'!$A$17,'01_Model_Config'!$C$17,IF(D27&gt;='01_Model_Config'!$A$18,'01_Model_Config'!$C$18,IF(D27&gt;='01_Model_Config'!$A$19,'01_Model_Config'!$C$19,'01_Model_Config'!$C$20))))</f>
        <v/>
      </c>
      <c r="F27" s="12">
        <f>ROWS($D$5:D27)-1</f>
        <v/>
      </c>
      <c r="G27" s="10">
        <f>IF(F27&lt;'01_Model_Config'!$B$26,"",AVERAGE($D$5:D26))</f>
        <v/>
      </c>
      <c r="H27" s="10">
        <f>IF(F27&lt;'01_Model_Config'!$B$26,"",STDEV.S($D$5:D26))</f>
        <v/>
      </c>
      <c r="I27" s="31">
        <f>IF(F27&lt;'01_Model_Config'!$B$26,"",MIN('01_Model_Config'!$B$41,MAX(-'01_Model_Config'!$B$41,(D27-G27)/MAX(H27,'01_Model_Config'!$B$40))))</f>
        <v/>
      </c>
      <c r="J27" s="10">
        <f>ROUND(IF(F27&lt;'01_Model_Config'!$B$26,D27,MIN('01_Model_Config'!$B$28,MAX('01_Model_Config'!$B$27,MIN(D27+'01_Model_Config'!$B$42,MAX(D27-'01_Model_Config'!$B$42,'01_Model_Config'!$B$24+'01_Model_Config'!$B$25*I27))))),2)</f>
        <v/>
      </c>
      <c r="K27" s="12">
        <f>IF(J27&gt;='01_Model_Config'!$A$16,'01_Model_Config'!$C$16,IF(J27&gt;='01_Model_Config'!$A$17,'01_Model_Config'!$C$17,IF(J27&gt;='01_Model_Config'!$A$18,'01_Model_Config'!$C$18,IF(J27&gt;='01_Model_Config'!$A$19,'01_Model_Config'!$C$19,'01_Model_Config'!$C$20))))</f>
        <v/>
      </c>
      <c r="L27" s="12">
        <f>IF(J27&gt;='01_Model_Config'!$A$16,'01_Model_Config'!$E$16,IF(J27&gt;='01_Model_Config'!$A$17,'01_Model_Config'!$E$17,IF(J27&gt;='01_Model_Config'!$A$18,'01_Model_Config'!$E$18,IF(J27&gt;='01_Model_Config'!$A$19,'01_Model_Config'!$E$19,'01_Model_Config'!$E$20))))</f>
        <v/>
      </c>
      <c r="M27" s="10">
        <f>ROUND(STDEV.S('04_Pillar_Calculation'!C27:H27),2)</f>
        <v/>
      </c>
      <c r="N27" s="10">
        <f>ROUND(MAX('04_Pillar_Calculation'!C27:H27)-MIN('04_Pillar_Calculation'!C27:H27),2)</f>
        <v/>
      </c>
      <c r="O27" s="12">
        <f>IF(F27&lt;'01_Model_Config'!$B$26,"MEDIUM",IF(M27&gt;=PERCENTILE.INC($M$5:M26,0.67),"HIGH",IF(M27&lt;=PERCENTILE.INC($M$5:M26,0.33),"LOW","MEDIUM")))</f>
        <v/>
      </c>
      <c r="P27" s="12">
        <f>IF(F27&lt;'01_Model_Config'!$B$26,"HOLD",IF(D27&gt;=R27,"BUY/ACCUMULATE",IF(D27&lt;=Q27,"REDUCE/SELL","HOLD")))</f>
        <v/>
      </c>
      <c r="Q27" s="10">
        <f>IF(F27&lt;'01_Model_Config'!$B$26,"",PERCENTILE.INC($D$5:D26,0.15))</f>
        <v/>
      </c>
      <c r="R27" s="10">
        <f>IF(F27&lt;'01_Model_Config'!$B$26,"",PERCENTILE.INC($D$5:D26,0.85))</f>
        <v/>
      </c>
      <c r="S27" s="12">
        <f>ROUND(D27,2)</f>
        <v/>
      </c>
    </row>
    <row r="28">
      <c r="A28" s="28">
        <f>'04_Pillar_Calculation'!A28</f>
        <v/>
      </c>
      <c r="B28" s="28">
        <f>'04_Pillar_Calculation'!B28</f>
        <v/>
      </c>
      <c r="C28" s="30">
        <f>'02_Market_Inputs'!C28</f>
        <v/>
      </c>
      <c r="D28" s="10">
        <f>'04_Pillar_Calculation'!O28</f>
        <v/>
      </c>
      <c r="E28" s="12">
        <f>IF(D28&gt;='01_Model_Config'!$A$16,'01_Model_Config'!$C$16,IF(D28&gt;='01_Model_Config'!$A$17,'01_Model_Config'!$C$17,IF(D28&gt;='01_Model_Config'!$A$18,'01_Model_Config'!$C$18,IF(D28&gt;='01_Model_Config'!$A$19,'01_Model_Config'!$C$19,'01_Model_Config'!$C$20))))</f>
        <v/>
      </c>
      <c r="F28" s="12">
        <f>ROWS($D$5:D28)-1</f>
        <v/>
      </c>
      <c r="G28" s="10">
        <f>IF(F28&lt;'01_Model_Config'!$B$26,"",AVERAGE($D$5:D27))</f>
        <v/>
      </c>
      <c r="H28" s="10">
        <f>IF(F28&lt;'01_Model_Config'!$B$26,"",STDEV.S($D$5:D27))</f>
        <v/>
      </c>
      <c r="I28" s="31">
        <f>IF(F28&lt;'01_Model_Config'!$B$26,"",MIN('01_Model_Config'!$B$41,MAX(-'01_Model_Config'!$B$41,(D28-G28)/MAX(H28,'01_Model_Config'!$B$40))))</f>
        <v/>
      </c>
      <c r="J28" s="10">
        <f>ROUND(IF(F28&lt;'01_Model_Config'!$B$26,D28,MIN('01_Model_Config'!$B$28,MAX('01_Model_Config'!$B$27,MIN(D28+'01_Model_Config'!$B$42,MAX(D28-'01_Model_Config'!$B$42,'01_Model_Config'!$B$24+'01_Model_Config'!$B$25*I28))))),2)</f>
        <v/>
      </c>
      <c r="K28" s="12">
        <f>IF(J28&gt;='01_Model_Config'!$A$16,'01_Model_Config'!$C$16,IF(J28&gt;='01_Model_Config'!$A$17,'01_Model_Config'!$C$17,IF(J28&gt;='01_Model_Config'!$A$18,'01_Model_Config'!$C$18,IF(J28&gt;='01_Model_Config'!$A$19,'01_Model_Config'!$C$19,'01_Model_Config'!$C$20))))</f>
        <v/>
      </c>
      <c r="L28" s="12">
        <f>IF(J28&gt;='01_Model_Config'!$A$16,'01_Model_Config'!$E$16,IF(J28&gt;='01_Model_Config'!$A$17,'01_Model_Config'!$E$17,IF(J28&gt;='01_Model_Config'!$A$18,'01_Model_Config'!$E$18,IF(J28&gt;='01_Model_Config'!$A$19,'01_Model_Config'!$E$19,'01_Model_Config'!$E$20))))</f>
        <v/>
      </c>
      <c r="M28" s="10">
        <f>ROUND(STDEV.S('04_Pillar_Calculation'!C28:H28),2)</f>
        <v/>
      </c>
      <c r="N28" s="10">
        <f>ROUND(MAX('04_Pillar_Calculation'!C28:H28)-MIN('04_Pillar_Calculation'!C28:H28),2)</f>
        <v/>
      </c>
      <c r="O28" s="12">
        <f>IF(F28&lt;'01_Model_Config'!$B$26,"MEDIUM",IF(M28&gt;=PERCENTILE.INC($M$5:M27,0.67),"HIGH",IF(M28&lt;=PERCENTILE.INC($M$5:M27,0.33),"LOW","MEDIUM")))</f>
        <v/>
      </c>
      <c r="P28" s="12">
        <f>IF(F28&lt;'01_Model_Config'!$B$26,"HOLD",IF(D28&gt;=R28,"BUY/ACCUMULATE",IF(D28&lt;=Q28,"REDUCE/SELL","HOLD")))</f>
        <v/>
      </c>
      <c r="Q28" s="10">
        <f>IF(F28&lt;'01_Model_Config'!$B$26,"",PERCENTILE.INC($D$5:D27,0.15))</f>
        <v/>
      </c>
      <c r="R28" s="10">
        <f>IF(F28&lt;'01_Model_Config'!$B$26,"",PERCENTILE.INC($D$5:D27,0.85))</f>
        <v/>
      </c>
      <c r="S28" s="12">
        <f>ROUND(D28,2)</f>
        <v/>
      </c>
    </row>
  </sheetData>
  <pageMargins left="0.75" right="0.75" top="1" bottom="1" header="0.5" footer="0.5"/>
  <pageSetup fitToHeight="0" fitToWidth="1"/>
</worksheet>
</file>

<file path=xl/worksheets/sheet7.xml><?xml version="1.0" encoding="utf-8"?>
<worksheet xmlns="http://schemas.openxmlformats.org/spreadsheetml/2006/main">
  <sheetPr>
    <tabColor rgb="00334155"/>
    <outlinePr summaryBelow="1" summaryRight="1"/>
    <pageSetUpPr fitToPage="1"/>
  </sheetPr>
  <dimension ref="A1:H2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14" customWidth="1" min="3" max="3"/>
    <col width="21" customWidth="1" min="4" max="4"/>
    <col width="22" customWidth="1" min="5" max="5"/>
    <col width="25" customWidth="1" min="6" max="6"/>
    <col width="15" customWidth="1" min="7" max="7"/>
    <col width="14" customWidth="1" min="8" max="8"/>
  </cols>
  <sheetData>
    <row r="1">
      <c r="A1" s="1" t="inlineStr">
        <is>
          <t>MULTIPLE LINEAR REGRESSION — FORECAST &amp; QUALITY LEDGER</t>
        </is>
      </c>
    </row>
    <row r="2">
      <c r="A2" s="2" t="inlineStr">
        <is>
          <t>Newey-West HAC specification; source forecasts are model outputs, while bonuses and normalized signal scores are formulas</t>
        </is>
      </c>
    </row>
    <row r="3"/>
    <row r="4" ht="32" customHeight="1">
      <c r="A4" s="18" t="inlineStr">
        <is>
          <t>Quarter</t>
        </is>
      </c>
      <c r="B4" s="18" t="inlineStr">
        <is>
          <t>As-of Date</t>
        </is>
      </c>
      <c r="C4" s="18" t="inlineStr">
        <is>
          <t>Observations</t>
        </is>
      </c>
      <c r="D4" s="18" t="inlineStr">
        <is>
          <t>R²</t>
        </is>
      </c>
      <c r="E4" s="18" t="inlineStr">
        <is>
          <t>Adjusted R²</t>
        </is>
      </c>
      <c r="F4" s="18" t="inlineStr">
        <is>
          <t>Forecast / Day</t>
        </is>
      </c>
      <c r="G4" s="18" t="inlineStr">
        <is>
          <t>Quality Bonus</t>
        </is>
      </c>
      <c r="H4" s="18" t="inlineStr">
        <is>
          <t>Signal Score</t>
        </is>
      </c>
    </row>
    <row r="5">
      <c r="A5" s="28">
        <f>'02_Market_Inputs'!A5</f>
        <v/>
      </c>
      <c r="B5" s="28">
        <f>'02_Market_Inputs'!B5</f>
        <v/>
      </c>
      <c r="C5" s="16" t="n">
        <v>750</v>
      </c>
      <c r="D5" s="23" t="n">
        <v>0.2244</v>
      </c>
      <c r="E5" s="23" t="n">
        <v>0.1994</v>
      </c>
      <c r="F5" s="32" t="n">
        <v>-0.0005</v>
      </c>
      <c r="G5" s="10">
        <f>MIN(10,E5*10)</f>
        <v/>
      </c>
      <c r="H5" s="10">
        <f>MIN(100,MAX(0,50+F5*'01_Model_Config'!$B$32))</f>
        <v/>
      </c>
    </row>
    <row r="6">
      <c r="A6" s="28">
        <f>'02_Market_Inputs'!A6</f>
        <v/>
      </c>
      <c r="B6" s="28">
        <f>'02_Market_Inputs'!B6</f>
        <v/>
      </c>
      <c r="C6" s="15" t="n">
        <v>810</v>
      </c>
      <c r="D6" s="26" t="n">
        <v>0.2183</v>
      </c>
      <c r="E6" s="26" t="n">
        <v>0.1933</v>
      </c>
      <c r="F6" s="33" t="n">
        <v>0.0036</v>
      </c>
      <c r="G6" s="10">
        <f>MIN(10,E6*10)</f>
        <v/>
      </c>
      <c r="H6" s="10">
        <f>MIN(100,MAX(0,50+F6*'01_Model_Config'!$B$32))</f>
        <v/>
      </c>
    </row>
    <row r="7">
      <c r="A7" s="28">
        <f>'02_Market_Inputs'!A7</f>
        <v/>
      </c>
      <c r="B7" s="28">
        <f>'02_Market_Inputs'!B7</f>
        <v/>
      </c>
      <c r="C7" s="16" t="n">
        <v>870</v>
      </c>
      <c r="D7" s="23" t="n">
        <v>0.2323</v>
      </c>
      <c r="E7" s="23" t="n">
        <v>0.2073</v>
      </c>
      <c r="F7" s="32" t="n">
        <v>0.0061</v>
      </c>
      <c r="G7" s="10">
        <f>MIN(10,E7*10)</f>
        <v/>
      </c>
      <c r="H7" s="10">
        <f>MIN(100,MAX(0,50+F7*'01_Model_Config'!$B$32))</f>
        <v/>
      </c>
    </row>
    <row r="8">
      <c r="A8" s="28">
        <f>'02_Market_Inputs'!A8</f>
        <v/>
      </c>
      <c r="B8" s="28">
        <f>'02_Market_Inputs'!B8</f>
        <v/>
      </c>
      <c r="C8" s="15" t="n">
        <v>930</v>
      </c>
      <c r="D8" s="26" t="n">
        <v>0.231</v>
      </c>
      <c r="E8" s="26" t="n">
        <v>0.206</v>
      </c>
      <c r="F8" s="33" t="n">
        <v>0.0009</v>
      </c>
      <c r="G8" s="10">
        <f>MIN(10,E8*10)</f>
        <v/>
      </c>
      <c r="H8" s="10">
        <f>MIN(100,MAX(0,50+F8*'01_Model_Config'!$B$32))</f>
        <v/>
      </c>
    </row>
    <row r="9">
      <c r="A9" s="28">
        <f>'02_Market_Inputs'!A9</f>
        <v/>
      </c>
      <c r="B9" s="28">
        <f>'02_Market_Inputs'!B9</f>
        <v/>
      </c>
      <c r="C9" s="16" t="n">
        <v>990</v>
      </c>
      <c r="D9" s="23" t="n">
        <v>0.2196</v>
      </c>
      <c r="E9" s="23" t="n">
        <v>0.1946</v>
      </c>
      <c r="F9" s="32" t="n">
        <v>0.0001</v>
      </c>
      <c r="G9" s="10">
        <f>MIN(10,E9*10)</f>
        <v/>
      </c>
      <c r="H9" s="10">
        <f>MIN(100,MAX(0,50+F9*'01_Model_Config'!$B$32))</f>
        <v/>
      </c>
    </row>
    <row r="10">
      <c r="A10" s="28">
        <f>'02_Market_Inputs'!A10</f>
        <v/>
      </c>
      <c r="B10" s="28">
        <f>'02_Market_Inputs'!B10</f>
        <v/>
      </c>
      <c r="C10" s="15" t="n">
        <v>1050</v>
      </c>
      <c r="D10" s="26" t="n">
        <v>0.2305</v>
      </c>
      <c r="E10" s="26" t="n">
        <v>0.2055</v>
      </c>
      <c r="F10" s="33" t="n">
        <v>-0.0005</v>
      </c>
      <c r="G10" s="10">
        <f>MIN(10,E10*10)</f>
        <v/>
      </c>
      <c r="H10" s="10">
        <f>MIN(100,MAX(0,50+F10*'01_Model_Config'!$B$32))</f>
        <v/>
      </c>
    </row>
    <row r="11">
      <c r="A11" s="28">
        <f>'02_Market_Inputs'!A11</f>
        <v/>
      </c>
      <c r="B11" s="28">
        <f>'02_Market_Inputs'!B11</f>
        <v/>
      </c>
      <c r="C11" s="16" t="n">
        <v>1110</v>
      </c>
      <c r="D11" s="23" t="n">
        <v>0.1905</v>
      </c>
      <c r="E11" s="23" t="n">
        <v>0.1655</v>
      </c>
      <c r="F11" s="32" t="n">
        <v>0.0032</v>
      </c>
      <c r="G11" s="10">
        <f>MIN(10,E11*10)</f>
        <v/>
      </c>
      <c r="H11" s="10">
        <f>MIN(100,MAX(0,50+F11*'01_Model_Config'!$B$32))</f>
        <v/>
      </c>
    </row>
    <row r="12">
      <c r="A12" s="28">
        <f>'02_Market_Inputs'!A12</f>
        <v/>
      </c>
      <c r="B12" s="28">
        <f>'02_Market_Inputs'!B12</f>
        <v/>
      </c>
      <c r="C12" s="15" t="n">
        <v>1170</v>
      </c>
      <c r="D12" s="26" t="n">
        <v>0.1832</v>
      </c>
      <c r="E12" s="26" t="n">
        <v>0.1582</v>
      </c>
      <c r="F12" s="33" t="n">
        <v>-0.0002</v>
      </c>
      <c r="G12" s="10">
        <f>MIN(10,E12*10)</f>
        <v/>
      </c>
      <c r="H12" s="10">
        <f>MIN(100,MAX(0,50+F12*'01_Model_Config'!$B$32))</f>
        <v/>
      </c>
    </row>
    <row r="13">
      <c r="A13" s="28">
        <f>'02_Market_Inputs'!A13</f>
        <v/>
      </c>
      <c r="B13" s="28">
        <f>'02_Market_Inputs'!B13</f>
        <v/>
      </c>
      <c r="C13" s="16" t="n">
        <v>1230</v>
      </c>
      <c r="D13" s="23" t="n">
        <v>0.1778</v>
      </c>
      <c r="E13" s="23" t="n">
        <v>0.1528</v>
      </c>
      <c r="F13" s="32" t="n">
        <v>0.0004</v>
      </c>
      <c r="G13" s="10">
        <f>MIN(10,E13*10)</f>
        <v/>
      </c>
      <c r="H13" s="10">
        <f>MIN(100,MAX(0,50+F13*'01_Model_Config'!$B$32))</f>
        <v/>
      </c>
    </row>
    <row r="14">
      <c r="A14" s="28">
        <f>'02_Market_Inputs'!A14</f>
        <v/>
      </c>
      <c r="B14" s="28">
        <f>'02_Market_Inputs'!B14</f>
        <v/>
      </c>
      <c r="C14" s="15" t="n">
        <v>1290</v>
      </c>
      <c r="D14" s="26" t="n">
        <v>0.1793</v>
      </c>
      <c r="E14" s="26" t="n">
        <v>0.1543</v>
      </c>
      <c r="F14" s="33" t="n">
        <v>0.0002</v>
      </c>
      <c r="G14" s="10">
        <f>MIN(10,E14*10)</f>
        <v/>
      </c>
      <c r="H14" s="10">
        <f>MIN(100,MAX(0,50+F14*'01_Model_Config'!$B$32))</f>
        <v/>
      </c>
    </row>
    <row r="15">
      <c r="A15" s="28">
        <f>'02_Market_Inputs'!A15</f>
        <v/>
      </c>
      <c r="B15" s="28">
        <f>'02_Market_Inputs'!B15</f>
        <v/>
      </c>
      <c r="C15" s="16" t="n">
        <v>1350</v>
      </c>
      <c r="D15" s="23" t="n">
        <v>0.1824</v>
      </c>
      <c r="E15" s="23" t="n">
        <v>0.1574</v>
      </c>
      <c r="F15" s="32" t="n">
        <v>0.0005</v>
      </c>
      <c r="G15" s="10">
        <f>MIN(10,E15*10)</f>
        <v/>
      </c>
      <c r="H15" s="10">
        <f>MIN(100,MAX(0,50+F15*'01_Model_Config'!$B$32))</f>
        <v/>
      </c>
    </row>
    <row r="16">
      <c r="A16" s="28">
        <f>'02_Market_Inputs'!A16</f>
        <v/>
      </c>
      <c r="B16" s="28">
        <f>'02_Market_Inputs'!B16</f>
        <v/>
      </c>
      <c r="C16" s="15" t="n">
        <v>1410</v>
      </c>
      <c r="D16" s="26" t="n">
        <v>0.1555</v>
      </c>
      <c r="E16" s="26" t="n">
        <v>0.1305</v>
      </c>
      <c r="F16" s="33" t="n">
        <v>0.0002</v>
      </c>
      <c r="G16" s="10">
        <f>MIN(10,E16*10)</f>
        <v/>
      </c>
      <c r="H16" s="10">
        <f>MIN(100,MAX(0,50+F16*'01_Model_Config'!$B$32))</f>
        <v/>
      </c>
    </row>
    <row r="17">
      <c r="A17" s="28">
        <f>'02_Market_Inputs'!A17</f>
        <v/>
      </c>
      <c r="B17" s="28">
        <f>'02_Market_Inputs'!B17</f>
        <v/>
      </c>
      <c r="C17" s="16" t="n">
        <v>1470</v>
      </c>
      <c r="D17" s="23" t="n">
        <v>0.1795</v>
      </c>
      <c r="E17" s="23" t="n">
        <v>0.1545</v>
      </c>
      <c r="F17" s="32" t="n">
        <v>-0.0005999999999999999</v>
      </c>
      <c r="G17" s="10">
        <f>MIN(10,E17*10)</f>
        <v/>
      </c>
      <c r="H17" s="10">
        <f>MIN(100,MAX(0,50+F17*'01_Model_Config'!$B$32))</f>
        <v/>
      </c>
    </row>
    <row r="18">
      <c r="A18" s="28">
        <f>'02_Market_Inputs'!A18</f>
        <v/>
      </c>
      <c r="B18" s="28">
        <f>'02_Market_Inputs'!B18</f>
        <v/>
      </c>
      <c r="C18" s="15" t="n">
        <v>1530</v>
      </c>
      <c r="D18" s="26" t="n">
        <v>0.196</v>
      </c>
      <c r="E18" s="26" t="n">
        <v>0.171</v>
      </c>
      <c r="F18" s="33" t="n">
        <v>-0.0001</v>
      </c>
      <c r="G18" s="10">
        <f>MIN(10,E18*10)</f>
        <v/>
      </c>
      <c r="H18" s="10">
        <f>MIN(100,MAX(0,50+F18*'01_Model_Config'!$B$32))</f>
        <v/>
      </c>
    </row>
    <row r="19">
      <c r="A19" s="28">
        <f>'02_Market_Inputs'!A19</f>
        <v/>
      </c>
      <c r="B19" s="28">
        <f>'02_Market_Inputs'!B19</f>
        <v/>
      </c>
      <c r="C19" s="16" t="n">
        <v>1590</v>
      </c>
      <c r="D19" s="23" t="n">
        <v>0.1816</v>
      </c>
      <c r="E19" s="23" t="n">
        <v>0.1566</v>
      </c>
      <c r="F19" s="32" t="n">
        <v>-0.0012</v>
      </c>
      <c r="G19" s="10">
        <f>MIN(10,E19*10)</f>
        <v/>
      </c>
      <c r="H19" s="10">
        <f>MIN(100,MAX(0,50+F19*'01_Model_Config'!$B$32))</f>
        <v/>
      </c>
    </row>
    <row r="20">
      <c r="A20" s="28">
        <f>'02_Market_Inputs'!A20</f>
        <v/>
      </c>
      <c r="B20" s="28">
        <f>'02_Market_Inputs'!B20</f>
        <v/>
      </c>
      <c r="C20" s="15" t="n">
        <v>1650</v>
      </c>
      <c r="D20" s="26" t="n">
        <v>0.176</v>
      </c>
      <c r="E20" s="26" t="n">
        <v>0.151</v>
      </c>
      <c r="F20" s="33" t="n">
        <v>-0.0005999999999999999</v>
      </c>
      <c r="G20" s="10">
        <f>MIN(10,E20*10)</f>
        <v/>
      </c>
      <c r="H20" s="10">
        <f>MIN(100,MAX(0,50+F20*'01_Model_Config'!$B$32))</f>
        <v/>
      </c>
    </row>
    <row r="21">
      <c r="A21" s="28">
        <f>'02_Market_Inputs'!A21</f>
        <v/>
      </c>
      <c r="B21" s="28">
        <f>'02_Market_Inputs'!B21</f>
        <v/>
      </c>
      <c r="C21" s="16" t="n">
        <v>1710</v>
      </c>
      <c r="D21" s="23" t="n">
        <v>0.1549</v>
      </c>
      <c r="E21" s="23" t="n">
        <v>0.1299</v>
      </c>
      <c r="F21" s="32" t="n">
        <v>-0.0005999999999999999</v>
      </c>
      <c r="G21" s="10">
        <f>MIN(10,E21*10)</f>
        <v/>
      </c>
      <c r="H21" s="10">
        <f>MIN(100,MAX(0,50+F21*'01_Model_Config'!$B$32))</f>
        <v/>
      </c>
    </row>
    <row r="22">
      <c r="A22" s="28">
        <f>'02_Market_Inputs'!A22</f>
        <v/>
      </c>
      <c r="B22" s="28">
        <f>'02_Market_Inputs'!B22</f>
        <v/>
      </c>
      <c r="C22" s="15" t="n">
        <v>1770</v>
      </c>
      <c r="D22" s="26" t="n">
        <v>0.1498</v>
      </c>
      <c r="E22" s="26" t="n">
        <v>0.1248</v>
      </c>
      <c r="F22" s="33" t="n">
        <v>-0.0004</v>
      </c>
      <c r="G22" s="10">
        <f>MIN(10,E22*10)</f>
        <v/>
      </c>
      <c r="H22" s="10">
        <f>MIN(100,MAX(0,50+F22*'01_Model_Config'!$B$32))</f>
        <v/>
      </c>
    </row>
    <row r="23">
      <c r="A23" s="28">
        <f>'02_Market_Inputs'!A23</f>
        <v/>
      </c>
      <c r="B23" s="28">
        <f>'02_Market_Inputs'!B23</f>
        <v/>
      </c>
      <c r="C23" s="16" t="n">
        <v>1830</v>
      </c>
      <c r="D23" s="23" t="n">
        <v>0.151</v>
      </c>
      <c r="E23" s="23" t="n">
        <v>0.126</v>
      </c>
      <c r="F23" s="32" t="n">
        <v>0.0005</v>
      </c>
      <c r="G23" s="10">
        <f>MIN(10,E23*10)</f>
        <v/>
      </c>
      <c r="H23" s="10">
        <f>MIN(100,MAX(0,50+F23*'01_Model_Config'!$B$32))</f>
        <v/>
      </c>
    </row>
    <row r="24">
      <c r="A24" s="28">
        <f>'02_Market_Inputs'!A24</f>
        <v/>
      </c>
      <c r="B24" s="28">
        <f>'02_Market_Inputs'!B24</f>
        <v/>
      </c>
      <c r="C24" s="15" t="n">
        <v>1890</v>
      </c>
      <c r="D24" s="26" t="n">
        <v>0.1466</v>
      </c>
      <c r="E24" s="26" t="n">
        <v>0.1216</v>
      </c>
      <c r="F24" s="33" t="n">
        <v>0.001</v>
      </c>
      <c r="G24" s="10">
        <f>MIN(10,E24*10)</f>
        <v/>
      </c>
      <c r="H24" s="10">
        <f>MIN(100,MAX(0,50+F24*'01_Model_Config'!$B$32))</f>
        <v/>
      </c>
    </row>
    <row r="25">
      <c r="A25" s="28">
        <f>'02_Market_Inputs'!A25</f>
        <v/>
      </c>
      <c r="B25" s="28">
        <f>'02_Market_Inputs'!B25</f>
        <v/>
      </c>
      <c r="C25" s="16" t="n">
        <v>1950</v>
      </c>
      <c r="D25" s="23" t="n">
        <v>0.1459</v>
      </c>
      <c r="E25" s="23" t="n">
        <v>0.1209</v>
      </c>
      <c r="F25" s="32" t="n">
        <v>-0.0002</v>
      </c>
      <c r="G25" s="10">
        <f>MIN(10,E25*10)</f>
        <v/>
      </c>
      <c r="H25" s="10">
        <f>MIN(100,MAX(0,50+F25*'01_Model_Config'!$B$32))</f>
        <v/>
      </c>
    </row>
    <row r="26">
      <c r="A26" s="28">
        <f>'02_Market_Inputs'!A26</f>
        <v/>
      </c>
      <c r="B26" s="28">
        <f>'02_Market_Inputs'!B26</f>
        <v/>
      </c>
      <c r="C26" s="15" t="n">
        <v>2010</v>
      </c>
      <c r="D26" s="26" t="n">
        <v>0.1391</v>
      </c>
      <c r="E26" s="26" t="n">
        <v>0.1141</v>
      </c>
      <c r="F26" s="33" t="n">
        <v>0.0007</v>
      </c>
      <c r="G26" s="10">
        <f>MIN(10,E26*10)</f>
        <v/>
      </c>
      <c r="H26" s="10">
        <f>MIN(100,MAX(0,50+F26*'01_Model_Config'!$B$32))</f>
        <v/>
      </c>
    </row>
    <row r="27">
      <c r="A27" s="28">
        <f>'02_Market_Inputs'!A27</f>
        <v/>
      </c>
      <c r="B27" s="28">
        <f>'02_Market_Inputs'!B27</f>
        <v/>
      </c>
      <c r="C27" s="16" t="n">
        <v>2070</v>
      </c>
      <c r="D27" s="23" t="n">
        <v>0.1383</v>
      </c>
      <c r="E27" s="23" t="n">
        <v>0.1133</v>
      </c>
      <c r="F27" s="32" t="n">
        <v>-0.0004</v>
      </c>
      <c r="G27" s="10">
        <f>MIN(10,E27*10)</f>
        <v/>
      </c>
      <c r="H27" s="10">
        <f>MIN(100,MAX(0,50+F27*'01_Model_Config'!$B$32))</f>
        <v/>
      </c>
    </row>
    <row r="28">
      <c r="A28" s="28">
        <f>'02_Market_Inputs'!A28</f>
        <v/>
      </c>
      <c r="B28" s="28">
        <f>'02_Market_Inputs'!B28</f>
        <v/>
      </c>
      <c r="C28" s="15" t="n">
        <v>2130</v>
      </c>
      <c r="D28" s="26" t="n">
        <v>0.08520704799252052</v>
      </c>
      <c r="E28" s="26" t="n">
        <v>0.06020704799252052</v>
      </c>
      <c r="F28" s="33" t="n">
        <v>-0.0002370158183153296</v>
      </c>
      <c r="G28" s="10">
        <f>MIN(10,E28*10)</f>
        <v/>
      </c>
      <c r="H28" s="10">
        <f>MIN(100,MAX(0,50+F28*'01_Model_Config'!$B$32))</f>
        <v/>
      </c>
    </row>
  </sheetData>
  <pageMargins left="0.75" right="0.75" top="1" bottom="1" header="0.5" footer="0.5"/>
  <pageSetup fitToHeight="0" fitToWidth="1"/>
</worksheet>
</file>

<file path=xl/worksheets/sheet8.xml><?xml version="1.0" encoding="utf-8"?>
<worksheet xmlns="http://schemas.openxmlformats.org/spreadsheetml/2006/main">
  <sheetPr>
    <tabColor rgb="00334155"/>
    <outlinePr summaryBelow="1" summaryRight="1"/>
    <pageSetUpPr fitToPage="1"/>
  </sheetPr>
  <dimension ref="A1:K2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13" customWidth="1" min="3" max="3"/>
    <col width="11" customWidth="1" min="4" max="4"/>
    <col width="11" customWidth="1" min="5" max="5"/>
    <col width="11" customWidth="1" min="6" max="6"/>
    <col width="11" customWidth="1" min="7" max="7"/>
    <col width="11" customWidth="1" min="8" max="8"/>
    <col width="14" customWidth="1" min="9" max="9"/>
    <col width="24" customWidth="1" min="10" max="10"/>
    <col width="18" customWidth="1" min="11" max="11"/>
  </cols>
  <sheetData>
    <row r="1">
      <c r="A1" s="1" t="inlineStr">
        <is>
          <t>VECTOR AUTOREGRESSION &amp; GRANGER CAUSALITY</t>
        </is>
      </c>
    </row>
    <row r="2">
      <c r="A2" s="2" t="inlineStr">
        <is>
          <t>P-values are point-in-time model outputs; leader counts and VAR signal normalization are live formulas</t>
        </is>
      </c>
    </row>
    <row r="3"/>
    <row r="4" ht="32" customHeight="1">
      <c r="A4" s="18" t="inlineStr">
        <is>
          <t>Quarter</t>
        </is>
      </c>
      <c r="B4" s="18" t="inlineStr">
        <is>
          <t>As-of Date</t>
        </is>
      </c>
      <c r="C4" s="18" t="inlineStr">
        <is>
          <t>Optimal Lag</t>
        </is>
      </c>
      <c r="D4" s="18" t="inlineStr">
        <is>
          <t>Test 1 p</t>
        </is>
      </c>
      <c r="E4" s="18" t="inlineStr">
        <is>
          <t>Test 2 p</t>
        </is>
      </c>
      <c r="F4" s="18" t="inlineStr">
        <is>
          <t>Test 3 p</t>
        </is>
      </c>
      <c r="G4" s="18" t="inlineStr">
        <is>
          <t>Test 4 p</t>
        </is>
      </c>
      <c r="H4" s="18" t="inlineStr">
        <is>
          <t>Test 5 p</t>
        </is>
      </c>
      <c r="I4" s="18" t="inlineStr">
        <is>
          <t>Leaders p&lt;5%</t>
        </is>
      </c>
      <c r="J4" s="18" t="inlineStr">
        <is>
          <t>VAR T+5 Forecast</t>
        </is>
      </c>
      <c r="K4" s="18" t="inlineStr">
        <is>
          <t>VAR Signal Score</t>
        </is>
      </c>
    </row>
    <row r="5">
      <c r="A5" s="28">
        <f>'02_Market_Inputs'!A5</f>
        <v/>
      </c>
      <c r="B5" s="28">
        <f>'02_Market_Inputs'!B5</f>
        <v/>
      </c>
      <c r="C5" s="16" t="n">
        <v>2</v>
      </c>
      <c r="D5" s="23" t="n">
        <v>0.08500000000000001</v>
      </c>
      <c r="E5" s="23" t="n">
        <v>0.0885</v>
      </c>
      <c r="F5" s="23" t="n">
        <v>0.2256</v>
      </c>
      <c r="G5" s="23" t="n"/>
      <c r="H5" s="23" t="n"/>
      <c r="I5" s="12">
        <f>COUNTIF(D5:H5,"&lt;0.05")</f>
        <v/>
      </c>
      <c r="J5" s="32" t="n">
        <v>0.0016</v>
      </c>
      <c r="K5" s="10">
        <f>MIN(100,MAX(0,50+J5*'01_Model_Config'!$B$33))</f>
        <v/>
      </c>
    </row>
    <row r="6">
      <c r="A6" s="28">
        <f>'02_Market_Inputs'!A6</f>
        <v/>
      </c>
      <c r="B6" s="28">
        <f>'02_Market_Inputs'!B6</f>
        <v/>
      </c>
      <c r="C6" s="15" t="n">
        <v>2</v>
      </c>
      <c r="D6" s="26" t="n">
        <v>0.1707</v>
      </c>
      <c r="E6" s="26" t="n">
        <v>0.1764</v>
      </c>
      <c r="F6" s="26" t="n">
        <v>0.2568</v>
      </c>
      <c r="G6" s="26" t="n"/>
      <c r="H6" s="26" t="n"/>
      <c r="I6" s="12">
        <f>COUNTIF(D6:H6,"&lt;0.05")</f>
        <v/>
      </c>
      <c r="J6" s="33" t="n">
        <v>-0.0007</v>
      </c>
      <c r="K6" s="10">
        <f>MIN(100,MAX(0,50+J6*'01_Model_Config'!$B$33))</f>
        <v/>
      </c>
    </row>
    <row r="7">
      <c r="A7" s="28">
        <f>'02_Market_Inputs'!A7</f>
        <v/>
      </c>
      <c r="B7" s="28">
        <f>'02_Market_Inputs'!B7</f>
        <v/>
      </c>
      <c r="C7" s="16" t="n">
        <v>2</v>
      </c>
      <c r="D7" s="23" t="n">
        <v>0.1862</v>
      </c>
      <c r="E7" s="23" t="n">
        <v>0.2239</v>
      </c>
      <c r="F7" s="23" t="n">
        <v>0.2569</v>
      </c>
      <c r="G7" s="23" t="n"/>
      <c r="H7" s="23" t="n"/>
      <c r="I7" s="12">
        <f>COUNTIF(D7:H7,"&lt;0.05")</f>
        <v/>
      </c>
      <c r="J7" s="32" t="n">
        <v>0.0005</v>
      </c>
      <c r="K7" s="10">
        <f>MIN(100,MAX(0,50+J7*'01_Model_Config'!$B$33))</f>
        <v/>
      </c>
    </row>
    <row r="8">
      <c r="A8" s="28">
        <f>'02_Market_Inputs'!A8</f>
        <v/>
      </c>
      <c r="B8" s="28">
        <f>'02_Market_Inputs'!B8</f>
        <v/>
      </c>
      <c r="C8" s="15" t="n">
        <v>2</v>
      </c>
      <c r="D8" s="26" t="n">
        <v>0.0887</v>
      </c>
      <c r="E8" s="26" t="n">
        <v>0.143</v>
      </c>
      <c r="F8" s="26" t="n">
        <v>0.2181</v>
      </c>
      <c r="G8" s="26" t="n"/>
      <c r="H8" s="26" t="n"/>
      <c r="I8" s="12">
        <f>COUNTIF(D8:H8,"&lt;0.05")</f>
        <v/>
      </c>
      <c r="J8" s="33" t="n">
        <v>-0.0004</v>
      </c>
      <c r="K8" s="10">
        <f>MIN(100,MAX(0,50+J8*'01_Model_Config'!$B$33))</f>
        <v/>
      </c>
    </row>
    <row r="9">
      <c r="A9" s="28">
        <f>'02_Market_Inputs'!A9</f>
        <v/>
      </c>
      <c r="B9" s="28">
        <f>'02_Market_Inputs'!B9</f>
        <v/>
      </c>
      <c r="C9" s="16" t="n">
        <v>2</v>
      </c>
      <c r="D9" s="23" t="n">
        <v>0.0509</v>
      </c>
      <c r="E9" s="23" t="n">
        <v>0.0853</v>
      </c>
      <c r="F9" s="23" t="n">
        <v>0.1552</v>
      </c>
      <c r="G9" s="23" t="n"/>
      <c r="H9" s="23" t="n"/>
      <c r="I9" s="12">
        <f>COUNTIF(D9:H9,"&lt;0.05")</f>
        <v/>
      </c>
      <c r="J9" s="32" t="n">
        <v>0.001</v>
      </c>
      <c r="K9" s="10">
        <f>MIN(100,MAX(0,50+J9*'01_Model_Config'!$B$33))</f>
        <v/>
      </c>
    </row>
    <row r="10">
      <c r="A10" s="28">
        <f>'02_Market_Inputs'!A10</f>
        <v/>
      </c>
      <c r="B10" s="28">
        <f>'02_Market_Inputs'!B10</f>
        <v/>
      </c>
      <c r="C10" s="15" t="n">
        <v>2</v>
      </c>
      <c r="D10" s="26" t="n">
        <v>0.07190000000000001</v>
      </c>
      <c r="E10" s="26" t="n">
        <v>0.3944</v>
      </c>
      <c r="F10" s="26" t="n">
        <v>0.6731</v>
      </c>
      <c r="G10" s="26" t="n"/>
      <c r="H10" s="26" t="n"/>
      <c r="I10" s="12">
        <f>COUNTIF(D10:H10,"&lt;0.05")</f>
        <v/>
      </c>
      <c r="J10" s="33" t="n">
        <v>0.0001</v>
      </c>
      <c r="K10" s="10">
        <f>MIN(100,MAX(0,50+J10*'01_Model_Config'!$B$33))</f>
        <v/>
      </c>
    </row>
    <row r="11">
      <c r="A11" s="28">
        <f>'02_Market_Inputs'!A11</f>
        <v/>
      </c>
      <c r="B11" s="28">
        <f>'02_Market_Inputs'!B11</f>
        <v/>
      </c>
      <c r="C11" s="16" t="n">
        <v>2</v>
      </c>
      <c r="D11" s="23" t="n">
        <v>0.0182</v>
      </c>
      <c r="E11" s="23" t="n">
        <v>0.2402</v>
      </c>
      <c r="F11" s="23" t="n">
        <v>0.6989</v>
      </c>
      <c r="G11" s="23" t="n"/>
      <c r="H11" s="23" t="n"/>
      <c r="I11" s="12">
        <f>COUNTIF(D11:H11,"&lt;0.05")</f>
        <v/>
      </c>
      <c r="J11" s="32" t="n">
        <v>-0.0005999999999999999</v>
      </c>
      <c r="K11" s="10">
        <f>MIN(100,MAX(0,50+J11*'01_Model_Config'!$B$33))</f>
        <v/>
      </c>
    </row>
    <row r="12">
      <c r="A12" s="28">
        <f>'02_Market_Inputs'!A12</f>
        <v/>
      </c>
      <c r="B12" s="28">
        <f>'02_Market_Inputs'!B12</f>
        <v/>
      </c>
      <c r="C12" s="15" t="n">
        <v>2</v>
      </c>
      <c r="D12" s="26" t="n">
        <v>0.0064</v>
      </c>
      <c r="E12" s="26" t="n">
        <v>0.147</v>
      </c>
      <c r="F12" s="26" t="n">
        <v>0.8678</v>
      </c>
      <c r="G12" s="26" t="n"/>
      <c r="H12" s="26" t="n"/>
      <c r="I12" s="12">
        <f>COUNTIF(D12:H12,"&lt;0.05")</f>
        <v/>
      </c>
      <c r="J12" s="33" t="n">
        <v>0.0004</v>
      </c>
      <c r="K12" s="10">
        <f>MIN(100,MAX(0,50+J12*'01_Model_Config'!$B$33))</f>
        <v/>
      </c>
    </row>
    <row r="13">
      <c r="A13" s="28">
        <f>'02_Market_Inputs'!A13</f>
        <v/>
      </c>
      <c r="B13" s="28">
        <f>'02_Market_Inputs'!B13</f>
        <v/>
      </c>
      <c r="C13" s="16" t="n">
        <v>2</v>
      </c>
      <c r="D13" s="23" t="n">
        <v>0.0005999999999999999</v>
      </c>
      <c r="E13" s="23" t="n">
        <v>0.883</v>
      </c>
      <c r="F13" s="23" t="n">
        <v>0.9572000000000001</v>
      </c>
      <c r="G13" s="23" t="n"/>
      <c r="H13" s="23" t="n"/>
      <c r="I13" s="12">
        <f>COUNTIF(D13:H13,"&lt;0.05")</f>
        <v/>
      </c>
      <c r="J13" s="32" t="n">
        <v>0.0002</v>
      </c>
      <c r="K13" s="10">
        <f>MIN(100,MAX(0,50+J13*'01_Model_Config'!$B$33))</f>
        <v/>
      </c>
    </row>
    <row r="14">
      <c r="A14" s="28">
        <f>'02_Market_Inputs'!A14</f>
        <v/>
      </c>
      <c r="B14" s="28">
        <f>'02_Market_Inputs'!B14</f>
        <v/>
      </c>
      <c r="C14" s="15" t="n">
        <v>2</v>
      </c>
      <c r="D14" s="26" t="n">
        <v>0.0004</v>
      </c>
      <c r="E14" s="26" t="n">
        <v>0.4647</v>
      </c>
      <c r="F14" s="26" t="n">
        <v>0.7383</v>
      </c>
      <c r="G14" s="26" t="n"/>
      <c r="H14" s="26" t="n"/>
      <c r="I14" s="12">
        <f>COUNTIF(D14:H14,"&lt;0.05")</f>
        <v/>
      </c>
      <c r="J14" s="33" t="n">
        <v>-0.0002</v>
      </c>
      <c r="K14" s="10">
        <f>MIN(100,MAX(0,50+J14*'01_Model_Config'!$B$33))</f>
        <v/>
      </c>
    </row>
    <row r="15">
      <c r="A15" s="28">
        <f>'02_Market_Inputs'!A15</f>
        <v/>
      </c>
      <c r="B15" s="28">
        <f>'02_Market_Inputs'!B15</f>
        <v/>
      </c>
      <c r="C15" s="16" t="n">
        <v>2</v>
      </c>
      <c r="D15" s="23" t="n">
        <v>0.0005</v>
      </c>
      <c r="E15" s="23" t="n">
        <v>0.4777</v>
      </c>
      <c r="F15" s="23" t="n">
        <v>0.6981000000000001</v>
      </c>
      <c r="G15" s="23" t="n"/>
      <c r="H15" s="23" t="n"/>
      <c r="I15" s="12">
        <f>COUNTIF(D15:H15,"&lt;0.05")</f>
        <v/>
      </c>
      <c r="J15" s="32" t="n">
        <v>0.0003</v>
      </c>
      <c r="K15" s="10">
        <f>MIN(100,MAX(0,50+J15*'01_Model_Config'!$B$33))</f>
        <v/>
      </c>
    </row>
    <row r="16">
      <c r="A16" s="28">
        <f>'02_Market_Inputs'!A16</f>
        <v/>
      </c>
      <c r="B16" s="28">
        <f>'02_Market_Inputs'!B16</f>
        <v/>
      </c>
      <c r="C16" s="15" t="n">
        <v>2</v>
      </c>
      <c r="D16" s="26" t="n">
        <v>0.0002</v>
      </c>
      <c r="E16" s="26" t="n">
        <v>0.4104</v>
      </c>
      <c r="F16" s="26" t="n">
        <v>0.6478</v>
      </c>
      <c r="G16" s="26" t="n"/>
      <c r="H16" s="26" t="n"/>
      <c r="I16" s="12">
        <f>COUNTIF(D16:H16,"&lt;0.05")</f>
        <v/>
      </c>
      <c r="J16" s="33" t="n">
        <v>0.0002</v>
      </c>
      <c r="K16" s="10">
        <f>MIN(100,MAX(0,50+J16*'01_Model_Config'!$B$33))</f>
        <v/>
      </c>
    </row>
    <row r="17">
      <c r="A17" s="28">
        <f>'02_Market_Inputs'!A17</f>
        <v/>
      </c>
      <c r="B17" s="28">
        <f>'02_Market_Inputs'!B17</f>
        <v/>
      </c>
      <c r="C17" s="16" t="n">
        <v>2</v>
      </c>
      <c r="D17" s="23" t="n">
        <v>0.0002</v>
      </c>
      <c r="E17" s="23" t="n">
        <v>0.6496</v>
      </c>
      <c r="F17" s="23" t="n">
        <v>0.8706</v>
      </c>
      <c r="G17" s="23" t="n"/>
      <c r="H17" s="23" t="n"/>
      <c r="I17" s="12">
        <f>COUNTIF(D17:H17,"&lt;0.05")</f>
        <v/>
      </c>
      <c r="J17" s="32" t="n">
        <v>0</v>
      </c>
      <c r="K17" s="10">
        <f>MIN(100,MAX(0,50+J17*'01_Model_Config'!$B$33))</f>
        <v/>
      </c>
    </row>
    <row r="18">
      <c r="A18" s="28">
        <f>'02_Market_Inputs'!A18</f>
        <v/>
      </c>
      <c r="B18" s="28">
        <f>'02_Market_Inputs'!B18</f>
        <v/>
      </c>
      <c r="C18" s="15" t="n">
        <v>2</v>
      </c>
      <c r="D18" s="26" t="n">
        <v>0.0003</v>
      </c>
      <c r="E18" s="26" t="n">
        <v>0.6921</v>
      </c>
      <c r="F18" s="26" t="n">
        <v>0.9951</v>
      </c>
      <c r="G18" s="26" t="n"/>
      <c r="H18" s="26" t="n"/>
      <c r="I18" s="12">
        <f>COUNTIF(D18:H18,"&lt;0.05")</f>
        <v/>
      </c>
      <c r="J18" s="33" t="n">
        <v>0.0001</v>
      </c>
      <c r="K18" s="10">
        <f>MIN(100,MAX(0,50+J18*'01_Model_Config'!$B$33))</f>
        <v/>
      </c>
    </row>
    <row r="19">
      <c r="A19" s="28">
        <f>'02_Market_Inputs'!A19</f>
        <v/>
      </c>
      <c r="B19" s="28">
        <f>'02_Market_Inputs'!B19</f>
        <v/>
      </c>
      <c r="C19" s="16" t="n">
        <v>2</v>
      </c>
      <c r="D19" s="23" t="n">
        <v>0.0001</v>
      </c>
      <c r="E19" s="23" t="n">
        <v>0.5296999999999999</v>
      </c>
      <c r="F19" s="23" t="n">
        <v>0.8303</v>
      </c>
      <c r="G19" s="23" t="n"/>
      <c r="H19" s="23" t="n"/>
      <c r="I19" s="12">
        <f>COUNTIF(D19:H19,"&lt;0.05")</f>
        <v/>
      </c>
      <c r="J19" s="32" t="n">
        <v>0</v>
      </c>
      <c r="K19" s="10">
        <f>MIN(100,MAX(0,50+J19*'01_Model_Config'!$B$33))</f>
        <v/>
      </c>
    </row>
    <row r="20">
      <c r="A20" s="28">
        <f>'02_Market_Inputs'!A20</f>
        <v/>
      </c>
      <c r="B20" s="28">
        <f>'02_Market_Inputs'!B20</f>
        <v/>
      </c>
      <c r="C20" s="15" t="n">
        <v>2</v>
      </c>
      <c r="D20" s="26" t="n">
        <v>0.0001</v>
      </c>
      <c r="E20" s="26" t="n">
        <v>0.7412</v>
      </c>
      <c r="F20" s="26" t="n">
        <v>0.7992</v>
      </c>
      <c r="G20" s="26" t="n"/>
      <c r="H20" s="26" t="n"/>
      <c r="I20" s="12">
        <f>COUNTIF(D20:H20,"&lt;0.05")</f>
        <v/>
      </c>
      <c r="J20" s="33" t="n">
        <v>-0.0004</v>
      </c>
      <c r="K20" s="10">
        <f>MIN(100,MAX(0,50+J20*'01_Model_Config'!$B$33))</f>
        <v/>
      </c>
    </row>
    <row r="21">
      <c r="A21" s="28">
        <f>'02_Market_Inputs'!A21</f>
        <v/>
      </c>
      <c r="B21" s="28">
        <f>'02_Market_Inputs'!B21</f>
        <v/>
      </c>
      <c r="C21" s="16" t="n">
        <v>2</v>
      </c>
      <c r="D21" s="23" t="n">
        <v>0</v>
      </c>
      <c r="E21" s="23" t="n">
        <v>0.7685</v>
      </c>
      <c r="F21" s="23" t="n">
        <v>0.7709</v>
      </c>
      <c r="G21" s="23" t="n"/>
      <c r="H21" s="23" t="n"/>
      <c r="I21" s="12">
        <f>COUNTIF(D21:H21,"&lt;0.05")</f>
        <v/>
      </c>
      <c r="J21" s="32" t="n">
        <v>-0.0004</v>
      </c>
      <c r="K21" s="10">
        <f>MIN(100,MAX(0,50+J21*'01_Model_Config'!$B$33))</f>
        <v/>
      </c>
    </row>
    <row r="22">
      <c r="A22" s="28">
        <f>'02_Market_Inputs'!A22</f>
        <v/>
      </c>
      <c r="B22" s="28">
        <f>'02_Market_Inputs'!B22</f>
        <v/>
      </c>
      <c r="C22" s="15" t="n">
        <v>2</v>
      </c>
      <c r="D22" s="26" t="n">
        <v>0</v>
      </c>
      <c r="E22" s="26" t="n">
        <v>0.6438</v>
      </c>
      <c r="F22" s="26" t="n">
        <v>0.7181999999999999</v>
      </c>
      <c r="G22" s="26" t="n"/>
      <c r="H22" s="26" t="n"/>
      <c r="I22" s="12">
        <f>COUNTIF(D22:H22,"&lt;0.05")</f>
        <v/>
      </c>
      <c r="J22" s="33" t="n">
        <v>-0.0002</v>
      </c>
      <c r="K22" s="10">
        <f>MIN(100,MAX(0,50+J22*'01_Model_Config'!$B$33))</f>
        <v/>
      </c>
    </row>
    <row r="23">
      <c r="A23" s="28">
        <f>'02_Market_Inputs'!A23</f>
        <v/>
      </c>
      <c r="B23" s="28">
        <f>'02_Market_Inputs'!B23</f>
        <v/>
      </c>
      <c r="C23" s="16" t="n">
        <v>2</v>
      </c>
      <c r="D23" s="23" t="n">
        <v>0.0027</v>
      </c>
      <c r="E23" s="23" t="n">
        <v>0.029</v>
      </c>
      <c r="F23" s="23" t="n">
        <v>0.7892</v>
      </c>
      <c r="G23" s="23" t="n">
        <v>0.9697</v>
      </c>
      <c r="H23" s="23" t="n"/>
      <c r="I23" s="12">
        <f>COUNTIF(D23:H23,"&lt;0.05")</f>
        <v/>
      </c>
      <c r="J23" s="32" t="n">
        <v>-0</v>
      </c>
      <c r="K23" s="10">
        <f>MIN(100,MAX(0,50+J23*'01_Model_Config'!$B$33))</f>
        <v/>
      </c>
    </row>
    <row r="24">
      <c r="A24" s="28">
        <f>'02_Market_Inputs'!A24</f>
        <v/>
      </c>
      <c r="B24" s="28">
        <f>'02_Market_Inputs'!B24</f>
        <v/>
      </c>
      <c r="C24" s="15" t="n">
        <v>2</v>
      </c>
      <c r="D24" s="26" t="n">
        <v>0.0011</v>
      </c>
      <c r="E24" s="26" t="n">
        <v>0.0687</v>
      </c>
      <c r="F24" s="26" t="n">
        <v>0.7216</v>
      </c>
      <c r="G24" s="26" t="n">
        <v>0.9933</v>
      </c>
      <c r="H24" s="26" t="n"/>
      <c r="I24" s="12">
        <f>COUNTIF(D24:H24,"&lt;0.05")</f>
        <v/>
      </c>
      <c r="J24" s="33" t="n">
        <v>0.0003</v>
      </c>
      <c r="K24" s="10">
        <f>MIN(100,MAX(0,50+J24*'01_Model_Config'!$B$33))</f>
        <v/>
      </c>
    </row>
    <row r="25">
      <c r="A25" s="28">
        <f>'02_Market_Inputs'!A25</f>
        <v/>
      </c>
      <c r="B25" s="28">
        <f>'02_Market_Inputs'!B25</f>
        <v/>
      </c>
      <c r="C25" s="16" t="n">
        <v>2</v>
      </c>
      <c r="D25" s="23" t="n">
        <v>0.0033</v>
      </c>
      <c r="E25" s="23" t="n">
        <v>0.0439</v>
      </c>
      <c r="F25" s="23" t="n">
        <v>0.4346</v>
      </c>
      <c r="G25" s="23" t="n">
        <v>0.9382</v>
      </c>
      <c r="H25" s="23" t="n"/>
      <c r="I25" s="12">
        <f>COUNTIF(D25:H25,"&lt;0.05")</f>
        <v/>
      </c>
      <c r="J25" s="32" t="n">
        <v>0.0003</v>
      </c>
      <c r="K25" s="10">
        <f>MIN(100,MAX(0,50+J25*'01_Model_Config'!$B$33))</f>
        <v/>
      </c>
    </row>
    <row r="26">
      <c r="A26" s="28">
        <f>'02_Market_Inputs'!A26</f>
        <v/>
      </c>
      <c r="B26" s="28">
        <f>'02_Market_Inputs'!B26</f>
        <v/>
      </c>
      <c r="C26" s="15" t="n">
        <v>2</v>
      </c>
      <c r="D26" s="26" t="n">
        <v>0.0124</v>
      </c>
      <c r="E26" s="26" t="n">
        <v>0.0291</v>
      </c>
      <c r="F26" s="26" t="n">
        <v>0.3268</v>
      </c>
      <c r="G26" s="26" t="n">
        <v>0.6913</v>
      </c>
      <c r="H26" s="26" t="n"/>
      <c r="I26" s="12">
        <f>COUNTIF(D26:H26,"&lt;0.05")</f>
        <v/>
      </c>
      <c r="J26" s="33" t="n">
        <v>0.0004</v>
      </c>
      <c r="K26" s="10">
        <f>MIN(100,MAX(0,50+J26*'01_Model_Config'!$B$33))</f>
        <v/>
      </c>
    </row>
    <row r="27">
      <c r="A27" s="28">
        <f>'02_Market_Inputs'!A27</f>
        <v/>
      </c>
      <c r="B27" s="28">
        <f>'02_Market_Inputs'!B27</f>
        <v/>
      </c>
      <c r="C27" s="16" t="n">
        <v>2</v>
      </c>
      <c r="D27" s="23" t="n">
        <v>0.0069</v>
      </c>
      <c r="E27" s="23" t="n">
        <v>0.0462</v>
      </c>
      <c r="F27" s="23" t="n">
        <v>0.2816</v>
      </c>
      <c r="G27" s="23" t="n">
        <v>0.7075</v>
      </c>
      <c r="H27" s="23" t="n"/>
      <c r="I27" s="12">
        <f>COUNTIF(D27:H27,"&lt;0.05")</f>
        <v/>
      </c>
      <c r="J27" s="32" t="n">
        <v>0.0005999999999999999</v>
      </c>
      <c r="K27" s="10">
        <f>MIN(100,MAX(0,50+J27*'01_Model_Config'!$B$33))</f>
        <v/>
      </c>
    </row>
    <row r="28">
      <c r="A28" s="28">
        <f>'02_Market_Inputs'!A28</f>
        <v/>
      </c>
      <c r="B28" s="28">
        <f>'02_Market_Inputs'!B28</f>
        <v/>
      </c>
      <c r="C28" s="15" t="n">
        <v>2</v>
      </c>
      <c r="D28" s="26" t="n">
        <v>0</v>
      </c>
      <c r="E28" s="26" t="n">
        <v>0.09080000000000001</v>
      </c>
      <c r="F28" s="26" t="n">
        <v>0.3701</v>
      </c>
      <c r="G28" s="26" t="n">
        <v>0.725</v>
      </c>
      <c r="H28" s="26" t="n">
        <v>0.7961</v>
      </c>
      <c r="I28" s="12">
        <f>COUNTIF(D28:H28,"&lt;0.05")</f>
        <v/>
      </c>
      <c r="J28" s="33" t="n">
        <v>0.0001465826227169615</v>
      </c>
      <c r="K28" s="10">
        <f>MIN(100,MAX(0,50+J28*'01_Model_Config'!$B$33))</f>
        <v/>
      </c>
    </row>
  </sheetData>
  <pageMargins left="0.75" right="0.75" top="1" bottom="1" header="0.5" footer="0.5"/>
  <pageSetup fitToHeight="0" fitToWidth="1"/>
</worksheet>
</file>

<file path=xl/worksheets/sheet9.xml><?xml version="1.0" encoding="utf-8"?>
<worksheet xmlns="http://schemas.openxmlformats.org/spreadsheetml/2006/main">
  <sheetPr>
    <tabColor rgb="00334155"/>
    <outlinePr summaryBelow="1" summaryRight="1"/>
    <pageSetUpPr fitToPage="1"/>
  </sheetPr>
  <dimension ref="A1:L2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11" customWidth="1" min="3" max="3"/>
    <col width="11" customWidth="1" min="4" max="4"/>
    <col width="15" customWidth="1" min="5" max="5"/>
    <col width="15" customWidth="1" min="6" max="6"/>
    <col width="11" customWidth="1" min="7" max="7"/>
    <col width="17" customWidth="1" min="8" max="8"/>
    <col width="12" customWidth="1" min="9" max="9"/>
    <col width="12" customWidth="1" min="10" max="10"/>
    <col width="15" customWidth="1" min="11" max="11"/>
    <col width="14" customWidth="1" min="12" max="12"/>
  </cols>
  <sheetData>
    <row r="1">
      <c r="A1" s="1" t="inlineStr">
        <is>
          <t>XGBOOST WALK-FORWARD VALIDATION</t>
        </is>
      </c>
    </row>
    <row r="2">
      <c r="A2" s="2" t="inlineStr">
        <is>
          <t>Eight-fold expanding walk-forward metrics and formula-normalized quality/directional scores</t>
        </is>
      </c>
    </row>
    <row r="3"/>
    <row r="4" ht="32" customHeight="1">
      <c r="A4" s="18" t="inlineStr">
        <is>
          <t>Quarter</t>
        </is>
      </c>
      <c r="B4" s="18" t="inlineStr">
        <is>
          <t>As-of Date</t>
        </is>
      </c>
      <c r="C4" s="18" t="inlineStr">
        <is>
          <t>Model</t>
        </is>
      </c>
      <c r="D4" s="18" t="inlineStr">
        <is>
          <t>WFV Folds</t>
        </is>
      </c>
      <c r="E4" s="18" t="inlineStr">
        <is>
          <t>Feature Count</t>
        </is>
      </c>
      <c r="F4" s="18" t="inlineStr">
        <is>
          <t>Mean Accuracy</t>
        </is>
      </c>
      <c r="G4" s="18" t="inlineStr">
        <is>
          <t>Mean F1</t>
        </is>
      </c>
      <c r="H4" s="18" t="inlineStr">
        <is>
          <t>Predicted Class</t>
        </is>
      </c>
      <c r="I4" s="18" t="inlineStr">
        <is>
          <t>Prediction</t>
        </is>
      </c>
      <c r="J4" s="18" t="inlineStr">
        <is>
          <t>Confidence</t>
        </is>
      </c>
      <c r="K4" s="18" t="inlineStr">
        <is>
          <t>Quality Score</t>
        </is>
      </c>
      <c r="L4" s="18" t="inlineStr">
        <is>
          <t>Signal Score</t>
        </is>
      </c>
    </row>
    <row r="5">
      <c r="A5" s="28">
        <f>'02_Market_Inputs'!A5</f>
        <v/>
      </c>
      <c r="B5" s="28">
        <f>'02_Market_Inputs'!B5</f>
        <v/>
      </c>
      <c r="C5" s="16" t="inlineStr">
        <is>
          <t>xgboost</t>
        </is>
      </c>
      <c r="D5" s="16" t="n">
        <v>8</v>
      </c>
      <c r="E5" s="16" t="n">
        <v>72</v>
      </c>
      <c r="F5" s="24" t="n">
        <v>0.5263</v>
      </c>
      <c r="G5" s="23" t="n">
        <v>0.52</v>
      </c>
      <c r="H5" s="16" t="n">
        <v>1</v>
      </c>
      <c r="I5" s="16" t="inlineStr">
        <is>
          <t>UP</t>
        </is>
      </c>
      <c r="J5" s="24" t="n">
        <v>0.987</v>
      </c>
      <c r="K5" s="10">
        <f>MIN(100,MAX(0,(F5+G5)/2*100))</f>
        <v/>
      </c>
      <c r="L5" s="10">
        <f>MIN(100,MAX(0,50+IF(H5=1,1,IF(H5=-1,-1,0))*30*MAX(0,(J5-1/3)/(1-1/3))))</f>
        <v/>
      </c>
    </row>
    <row r="6">
      <c r="A6" s="28">
        <f>'02_Market_Inputs'!A6</f>
        <v/>
      </c>
      <c r="B6" s="28">
        <f>'02_Market_Inputs'!B6</f>
        <v/>
      </c>
      <c r="C6" s="15" t="inlineStr">
        <is>
          <t>xgboost</t>
        </is>
      </c>
      <c r="D6" s="15" t="n">
        <v>8</v>
      </c>
      <c r="E6" s="15" t="n">
        <v>72</v>
      </c>
      <c r="F6" s="27" t="n">
        <v>0.5966</v>
      </c>
      <c r="G6" s="26" t="n">
        <v>0.5661</v>
      </c>
      <c r="H6" s="15" t="n">
        <v>-1</v>
      </c>
      <c r="I6" s="15" t="inlineStr">
        <is>
          <t>DOWN</t>
        </is>
      </c>
      <c r="J6" s="27" t="n">
        <v>0.8131</v>
      </c>
      <c r="K6" s="10">
        <f>MIN(100,MAX(0,(F6+G6)/2*100))</f>
        <v/>
      </c>
      <c r="L6" s="10">
        <f>MIN(100,MAX(0,50+IF(H6=1,1,IF(H6=-1,-1,0))*30*MAX(0,(J6-1/3)/(1-1/3))))</f>
        <v/>
      </c>
    </row>
    <row r="7">
      <c r="A7" s="28">
        <f>'02_Market_Inputs'!A7</f>
        <v/>
      </c>
      <c r="B7" s="28">
        <f>'02_Market_Inputs'!B7</f>
        <v/>
      </c>
      <c r="C7" s="16" t="inlineStr">
        <is>
          <t>xgboost</t>
        </is>
      </c>
      <c r="D7" s="16" t="n">
        <v>8</v>
      </c>
      <c r="E7" s="16" t="n">
        <v>72</v>
      </c>
      <c r="F7" s="24" t="n">
        <v>0.524</v>
      </c>
      <c r="G7" s="23" t="n">
        <v>0.5123</v>
      </c>
      <c r="H7" s="16" t="n">
        <v>-1</v>
      </c>
      <c r="I7" s="16" t="inlineStr">
        <is>
          <t>DOWN</t>
        </is>
      </c>
      <c r="J7" s="24" t="n">
        <v>0.6847</v>
      </c>
      <c r="K7" s="10">
        <f>MIN(100,MAX(0,(F7+G7)/2*100))</f>
        <v/>
      </c>
      <c r="L7" s="10">
        <f>MIN(100,MAX(0,50+IF(H7=1,1,IF(H7=-1,-1,0))*30*MAX(0,(J7-1/3)/(1-1/3))))</f>
        <v/>
      </c>
    </row>
    <row r="8">
      <c r="A8" s="28">
        <f>'02_Market_Inputs'!A8</f>
        <v/>
      </c>
      <c r="B8" s="28">
        <f>'02_Market_Inputs'!B8</f>
        <v/>
      </c>
      <c r="C8" s="15" t="inlineStr">
        <is>
          <t>xgboost</t>
        </is>
      </c>
      <c r="D8" s="15" t="n">
        <v>8</v>
      </c>
      <c r="E8" s="15" t="n">
        <v>72</v>
      </c>
      <c r="F8" s="27" t="n">
        <v>0.5647</v>
      </c>
      <c r="G8" s="26" t="n">
        <v>0.5278</v>
      </c>
      <c r="H8" s="15" t="n">
        <v>-1</v>
      </c>
      <c r="I8" s="15" t="inlineStr">
        <is>
          <t>DOWN</t>
        </is>
      </c>
      <c r="J8" s="27" t="n">
        <v>0.4484</v>
      </c>
      <c r="K8" s="10">
        <f>MIN(100,MAX(0,(F8+G8)/2*100))</f>
        <v/>
      </c>
      <c r="L8" s="10">
        <f>MIN(100,MAX(0,50+IF(H8=1,1,IF(H8=-1,-1,0))*30*MAX(0,(J8-1/3)/(1-1/3))))</f>
        <v/>
      </c>
    </row>
    <row r="9">
      <c r="A9" s="28">
        <f>'02_Market_Inputs'!A9</f>
        <v/>
      </c>
      <c r="B9" s="28">
        <f>'02_Market_Inputs'!B9</f>
        <v/>
      </c>
      <c r="C9" s="16" t="inlineStr">
        <is>
          <t>xgboost</t>
        </is>
      </c>
      <c r="D9" s="16" t="n">
        <v>8</v>
      </c>
      <c r="E9" s="16" t="n">
        <v>72</v>
      </c>
      <c r="F9" s="24" t="n">
        <v>0.5341</v>
      </c>
      <c r="G9" s="23" t="n">
        <v>0.4932</v>
      </c>
      <c r="H9" s="16" t="n">
        <v>1</v>
      </c>
      <c r="I9" s="16" t="inlineStr">
        <is>
          <t>UP</t>
        </is>
      </c>
      <c r="J9" s="24" t="n">
        <v>0.82</v>
      </c>
      <c r="K9" s="10">
        <f>MIN(100,MAX(0,(F9+G9)/2*100))</f>
        <v/>
      </c>
      <c r="L9" s="10">
        <f>MIN(100,MAX(0,50+IF(H9=1,1,IF(H9=-1,-1,0))*30*MAX(0,(J9-1/3)/(1-1/3))))</f>
        <v/>
      </c>
    </row>
    <row r="10">
      <c r="A10" s="28">
        <f>'02_Market_Inputs'!A10</f>
        <v/>
      </c>
      <c r="B10" s="28">
        <f>'02_Market_Inputs'!B10</f>
        <v/>
      </c>
      <c r="C10" s="15" t="inlineStr">
        <is>
          <t>xgboost</t>
        </is>
      </c>
      <c r="D10" s="15" t="n">
        <v>8</v>
      </c>
      <c r="E10" s="15" t="n">
        <v>72</v>
      </c>
      <c r="F10" s="27" t="n">
        <v>0.4444</v>
      </c>
      <c r="G10" s="26" t="n">
        <v>0.4059</v>
      </c>
      <c r="H10" s="15" t="n">
        <v>-1</v>
      </c>
      <c r="I10" s="15" t="inlineStr">
        <is>
          <t>DOWN</t>
        </is>
      </c>
      <c r="J10" s="27" t="n">
        <v>0.5671</v>
      </c>
      <c r="K10" s="10">
        <f>MIN(100,MAX(0,(F10+G10)/2*100))</f>
        <v/>
      </c>
      <c r="L10" s="10">
        <f>MIN(100,MAX(0,50+IF(H10=1,1,IF(H10=-1,-1,0))*30*MAX(0,(J10-1/3)/(1-1/3))))</f>
        <v/>
      </c>
    </row>
    <row r="11">
      <c r="A11" s="28">
        <f>'02_Market_Inputs'!A11</f>
        <v/>
      </c>
      <c r="B11" s="28">
        <f>'02_Market_Inputs'!B11</f>
        <v/>
      </c>
      <c r="C11" s="16" t="inlineStr">
        <is>
          <t>xgboost</t>
        </is>
      </c>
      <c r="D11" s="16" t="n">
        <v>8</v>
      </c>
      <c r="E11" s="16" t="n">
        <v>72</v>
      </c>
      <c r="F11" s="24" t="n">
        <v>0.4219</v>
      </c>
      <c r="G11" s="23" t="n">
        <v>0.3642</v>
      </c>
      <c r="H11" s="16" t="n">
        <v>1</v>
      </c>
      <c r="I11" s="16" t="inlineStr">
        <is>
          <t>UP</t>
        </is>
      </c>
      <c r="J11" s="24" t="n">
        <v>0.6867</v>
      </c>
      <c r="K11" s="10">
        <f>MIN(100,MAX(0,(F11+G11)/2*100))</f>
        <v/>
      </c>
      <c r="L11" s="10">
        <f>MIN(100,MAX(0,50+IF(H11=1,1,IF(H11=-1,-1,0))*30*MAX(0,(J11-1/3)/(1-1/3))))</f>
        <v/>
      </c>
    </row>
    <row r="12">
      <c r="A12" s="28">
        <f>'02_Market_Inputs'!A12</f>
        <v/>
      </c>
      <c r="B12" s="28">
        <f>'02_Market_Inputs'!B12</f>
        <v/>
      </c>
      <c r="C12" s="15" t="inlineStr">
        <is>
          <t>xgboost</t>
        </is>
      </c>
      <c r="D12" s="15" t="n">
        <v>8</v>
      </c>
      <c r="E12" s="15" t="n">
        <v>72</v>
      </c>
      <c r="F12" s="27" t="n">
        <v>0.4186</v>
      </c>
      <c r="G12" s="26" t="n">
        <v>0.3801</v>
      </c>
      <c r="H12" s="15" t="n">
        <v>-1</v>
      </c>
      <c r="I12" s="15" t="inlineStr">
        <is>
          <t>DOWN</t>
        </is>
      </c>
      <c r="J12" s="27" t="n">
        <v>0.9052</v>
      </c>
      <c r="K12" s="10">
        <f>MIN(100,MAX(0,(F12+G12)/2*100))</f>
        <v/>
      </c>
      <c r="L12" s="10">
        <f>MIN(100,MAX(0,50+IF(H12=1,1,IF(H12=-1,-1,0))*30*MAX(0,(J12-1/3)/(1-1/3))))</f>
        <v/>
      </c>
    </row>
    <row r="13">
      <c r="A13" s="28">
        <f>'02_Market_Inputs'!A13</f>
        <v/>
      </c>
      <c r="B13" s="28">
        <f>'02_Market_Inputs'!B13</f>
        <v/>
      </c>
      <c r="C13" s="16" t="inlineStr">
        <is>
          <t>xgboost</t>
        </is>
      </c>
      <c r="D13" s="16" t="n">
        <v>8</v>
      </c>
      <c r="E13" s="16" t="n">
        <v>72</v>
      </c>
      <c r="F13" s="24" t="n">
        <v>0.4016</v>
      </c>
      <c r="G13" s="23" t="n">
        <v>0.3292</v>
      </c>
      <c r="H13" s="16" t="n">
        <v>1</v>
      </c>
      <c r="I13" s="16" t="inlineStr">
        <is>
          <t>UP</t>
        </is>
      </c>
      <c r="J13" s="24" t="n">
        <v>0.5865</v>
      </c>
      <c r="K13" s="10">
        <f>MIN(100,MAX(0,(F13+G13)/2*100))</f>
        <v/>
      </c>
      <c r="L13" s="10">
        <f>MIN(100,MAX(0,50+IF(H13=1,1,IF(H13=-1,-1,0))*30*MAX(0,(J13-1/3)/(1-1/3))))</f>
        <v/>
      </c>
    </row>
    <row r="14">
      <c r="A14" s="28">
        <f>'02_Market_Inputs'!A14</f>
        <v/>
      </c>
      <c r="B14" s="28">
        <f>'02_Market_Inputs'!B14</f>
        <v/>
      </c>
      <c r="C14" s="15" t="inlineStr">
        <is>
          <t>xgboost</t>
        </is>
      </c>
      <c r="D14" s="15" t="n">
        <v>8</v>
      </c>
      <c r="E14" s="15" t="n">
        <v>72</v>
      </c>
      <c r="F14" s="27" t="n">
        <v>0.415</v>
      </c>
      <c r="G14" s="26" t="n">
        <v>0.3219</v>
      </c>
      <c r="H14" s="15" t="n">
        <v>1</v>
      </c>
      <c r="I14" s="15" t="inlineStr">
        <is>
          <t>UP</t>
        </is>
      </c>
      <c r="J14" s="27" t="n">
        <v>0.6443</v>
      </c>
      <c r="K14" s="10">
        <f>MIN(100,MAX(0,(F14+G14)/2*100))</f>
        <v/>
      </c>
      <c r="L14" s="10">
        <f>MIN(100,MAX(0,50+IF(H14=1,1,IF(H14=-1,-1,0))*30*MAX(0,(J14-1/3)/(1-1/3))))</f>
        <v/>
      </c>
    </row>
    <row r="15">
      <c r="A15" s="28">
        <f>'02_Market_Inputs'!A15</f>
        <v/>
      </c>
      <c r="B15" s="28">
        <f>'02_Market_Inputs'!B15</f>
        <v/>
      </c>
      <c r="C15" s="16" t="inlineStr">
        <is>
          <t>xgboost</t>
        </is>
      </c>
      <c r="D15" s="16" t="n">
        <v>8</v>
      </c>
      <c r="E15" s="16" t="n">
        <v>72</v>
      </c>
      <c r="F15" s="24" t="n">
        <v>0.4293</v>
      </c>
      <c r="G15" s="23" t="n">
        <v>0.3502</v>
      </c>
      <c r="H15" s="16" t="n">
        <v>1</v>
      </c>
      <c r="I15" s="16" t="inlineStr">
        <is>
          <t>UP</t>
        </is>
      </c>
      <c r="J15" s="24" t="n">
        <v>0.5075</v>
      </c>
      <c r="K15" s="10">
        <f>MIN(100,MAX(0,(F15+G15)/2*100))</f>
        <v/>
      </c>
      <c r="L15" s="10">
        <f>MIN(100,MAX(0,50+IF(H15=1,1,IF(H15=-1,-1,0))*30*MAX(0,(J15-1/3)/(1-1/3))))</f>
        <v/>
      </c>
    </row>
    <row r="16">
      <c r="A16" s="28">
        <f>'02_Market_Inputs'!A16</f>
        <v/>
      </c>
      <c r="B16" s="28">
        <f>'02_Market_Inputs'!B16</f>
        <v/>
      </c>
      <c r="C16" s="15" t="inlineStr">
        <is>
          <t>xgboost</t>
        </is>
      </c>
      <c r="D16" s="15" t="n">
        <v>8</v>
      </c>
      <c r="E16" s="15" t="n">
        <v>76</v>
      </c>
      <c r="F16" s="27" t="n">
        <v>0.4145</v>
      </c>
      <c r="G16" s="26" t="n">
        <v>0.3461</v>
      </c>
      <c r="H16" s="15" t="n">
        <v>-1</v>
      </c>
      <c r="I16" s="15" t="inlineStr">
        <is>
          <t>DOWN</t>
        </is>
      </c>
      <c r="J16" s="27" t="n">
        <v>0.8353</v>
      </c>
      <c r="K16" s="10">
        <f>MIN(100,MAX(0,(F16+G16)/2*100))</f>
        <v/>
      </c>
      <c r="L16" s="10">
        <f>MIN(100,MAX(0,50+IF(H16=1,1,IF(H16=-1,-1,0))*30*MAX(0,(J16-1/3)/(1-1/3))))</f>
        <v/>
      </c>
    </row>
    <row r="17">
      <c r="A17" s="28">
        <f>'02_Market_Inputs'!A17</f>
        <v/>
      </c>
      <c r="B17" s="28">
        <f>'02_Market_Inputs'!B17</f>
        <v/>
      </c>
      <c r="C17" s="16" t="inlineStr">
        <is>
          <t>xgboost</t>
        </is>
      </c>
      <c r="D17" s="16" t="n">
        <v>8</v>
      </c>
      <c r="E17" s="16" t="n">
        <v>99</v>
      </c>
      <c r="F17" s="24" t="n">
        <v>0.4188</v>
      </c>
      <c r="G17" s="23" t="n">
        <v>0.3554</v>
      </c>
      <c r="H17" s="16" t="n">
        <v>1</v>
      </c>
      <c r="I17" s="16" t="inlineStr">
        <is>
          <t>UP</t>
        </is>
      </c>
      <c r="J17" s="24" t="n">
        <v>0.5012</v>
      </c>
      <c r="K17" s="10">
        <f>MIN(100,MAX(0,(F17+G17)/2*100))</f>
        <v/>
      </c>
      <c r="L17" s="10">
        <f>MIN(100,MAX(0,50+IF(H17=1,1,IF(H17=-1,-1,0))*30*MAX(0,(J17-1/3)/(1-1/3))))</f>
        <v/>
      </c>
    </row>
    <row r="18">
      <c r="A18" s="28">
        <f>'02_Market_Inputs'!A18</f>
        <v/>
      </c>
      <c r="B18" s="28">
        <f>'02_Market_Inputs'!B18</f>
        <v/>
      </c>
      <c r="C18" s="15" t="inlineStr">
        <is>
          <t>xgboost</t>
        </is>
      </c>
      <c r="D18" s="15" t="n">
        <v>8</v>
      </c>
      <c r="E18" s="15" t="n">
        <v>100</v>
      </c>
      <c r="F18" s="27" t="n">
        <v>0.4739</v>
      </c>
      <c r="G18" s="26" t="n">
        <v>0.4114</v>
      </c>
      <c r="H18" s="15" t="n">
        <v>1</v>
      </c>
      <c r="I18" s="15" t="inlineStr">
        <is>
          <t>UP</t>
        </is>
      </c>
      <c r="J18" s="27" t="n">
        <v>0.6095</v>
      </c>
      <c r="K18" s="10">
        <f>MIN(100,MAX(0,(F18+G18)/2*100))</f>
        <v/>
      </c>
      <c r="L18" s="10">
        <f>MIN(100,MAX(0,50+IF(H18=1,1,IF(H18=-1,-1,0))*30*MAX(0,(J18-1/3)/(1-1/3))))</f>
        <v/>
      </c>
    </row>
    <row r="19">
      <c r="A19" s="28">
        <f>'02_Market_Inputs'!A19</f>
        <v/>
      </c>
      <c r="B19" s="28">
        <f>'02_Market_Inputs'!B19</f>
        <v/>
      </c>
      <c r="C19" s="16" t="inlineStr">
        <is>
          <t>xgboost</t>
        </is>
      </c>
      <c r="D19" s="16" t="n">
        <v>8</v>
      </c>
      <c r="E19" s="16" t="n">
        <v>100</v>
      </c>
      <c r="F19" s="24" t="n">
        <v>0.413</v>
      </c>
      <c r="G19" s="23" t="n">
        <v>0.353</v>
      </c>
      <c r="H19" s="16" t="n">
        <v>1</v>
      </c>
      <c r="I19" s="16" t="inlineStr">
        <is>
          <t>UP</t>
        </is>
      </c>
      <c r="J19" s="24" t="n">
        <v>0.8225</v>
      </c>
      <c r="K19" s="10">
        <f>MIN(100,MAX(0,(F19+G19)/2*100))</f>
        <v/>
      </c>
      <c r="L19" s="10">
        <f>MIN(100,MAX(0,50+IF(H19=1,1,IF(H19=-1,-1,0))*30*MAX(0,(J19-1/3)/(1-1/3))))</f>
        <v/>
      </c>
    </row>
    <row r="20">
      <c r="A20" s="28">
        <f>'02_Market_Inputs'!A20</f>
        <v/>
      </c>
      <c r="B20" s="28">
        <f>'02_Market_Inputs'!B20</f>
        <v/>
      </c>
      <c r="C20" s="15" t="inlineStr">
        <is>
          <t>xgboost</t>
        </is>
      </c>
      <c r="D20" s="15" t="n">
        <v>8</v>
      </c>
      <c r="E20" s="15" t="n">
        <v>100</v>
      </c>
      <c r="F20" s="27" t="n">
        <v>0.4286</v>
      </c>
      <c r="G20" s="26" t="n">
        <v>0.3889</v>
      </c>
      <c r="H20" s="15" t="n">
        <v>0</v>
      </c>
      <c r="I20" s="15" t="inlineStr">
        <is>
          <t>NEUTRAL</t>
        </is>
      </c>
      <c r="J20" s="27" t="n">
        <v>0.518</v>
      </c>
      <c r="K20" s="10">
        <f>MIN(100,MAX(0,(F20+G20)/2*100))</f>
        <v/>
      </c>
      <c r="L20" s="10">
        <f>MIN(100,MAX(0,50+IF(H20=1,1,IF(H20=-1,-1,0))*30*MAX(0,(J20-1/3)/(1-1/3))))</f>
        <v/>
      </c>
    </row>
    <row r="21">
      <c r="A21" s="28">
        <f>'02_Market_Inputs'!A21</f>
        <v/>
      </c>
      <c r="B21" s="28">
        <f>'02_Market_Inputs'!B21</f>
        <v/>
      </c>
      <c r="C21" s="16" t="inlineStr">
        <is>
          <t>xgboost</t>
        </is>
      </c>
      <c r="D21" s="16" t="n">
        <v>8</v>
      </c>
      <c r="E21" s="16" t="n">
        <v>100</v>
      </c>
      <c r="F21" s="24" t="n">
        <v>0.4906</v>
      </c>
      <c r="G21" s="23" t="n">
        <v>0.45</v>
      </c>
      <c r="H21" s="16" t="n">
        <v>1</v>
      </c>
      <c r="I21" s="16" t="inlineStr">
        <is>
          <t>UP</t>
        </is>
      </c>
      <c r="J21" s="24" t="n">
        <v>0.5758</v>
      </c>
      <c r="K21" s="10">
        <f>MIN(100,MAX(0,(F21+G21)/2*100))</f>
        <v/>
      </c>
      <c r="L21" s="10">
        <f>MIN(100,MAX(0,50+IF(H21=1,1,IF(H21=-1,-1,0))*30*MAX(0,(J21-1/3)/(1-1/3))))</f>
        <v/>
      </c>
    </row>
    <row r="22">
      <c r="A22" s="28">
        <f>'02_Market_Inputs'!A22</f>
        <v/>
      </c>
      <c r="B22" s="28">
        <f>'02_Market_Inputs'!B22</f>
        <v/>
      </c>
      <c r="C22" s="15" t="inlineStr">
        <is>
          <t>xgboost</t>
        </is>
      </c>
      <c r="D22" s="15" t="n">
        <v>8</v>
      </c>
      <c r="E22" s="15" t="n">
        <v>100</v>
      </c>
      <c r="F22" s="27" t="n">
        <v>0.3995</v>
      </c>
      <c r="G22" s="26" t="n">
        <v>0.3475</v>
      </c>
      <c r="H22" s="15" t="n">
        <v>0</v>
      </c>
      <c r="I22" s="15" t="inlineStr">
        <is>
          <t>NEUTRAL</t>
        </is>
      </c>
      <c r="J22" s="27" t="n">
        <v>0.6137</v>
      </c>
      <c r="K22" s="10">
        <f>MIN(100,MAX(0,(F22+G22)/2*100))</f>
        <v/>
      </c>
      <c r="L22" s="10">
        <f>MIN(100,MAX(0,50+IF(H22=1,1,IF(H22=-1,-1,0))*30*MAX(0,(J22-1/3)/(1-1/3))))</f>
        <v/>
      </c>
    </row>
    <row r="23">
      <c r="A23" s="28">
        <f>'02_Market_Inputs'!A23</f>
        <v/>
      </c>
      <c r="B23" s="28">
        <f>'02_Market_Inputs'!B23</f>
        <v/>
      </c>
      <c r="C23" s="16" t="inlineStr">
        <is>
          <t>xgboost</t>
        </is>
      </c>
      <c r="D23" s="16" t="n">
        <v>8</v>
      </c>
      <c r="E23" s="16" t="n">
        <v>102</v>
      </c>
      <c r="F23" s="24" t="n">
        <v>0.451</v>
      </c>
      <c r="G23" s="23" t="n">
        <v>0.4066</v>
      </c>
      <c r="H23" s="16" t="n">
        <v>1</v>
      </c>
      <c r="I23" s="16" t="inlineStr">
        <is>
          <t>UP</t>
        </is>
      </c>
      <c r="J23" s="24" t="n">
        <v>0.6242</v>
      </c>
      <c r="K23" s="10">
        <f>MIN(100,MAX(0,(F23+G23)/2*100))</f>
        <v/>
      </c>
      <c r="L23" s="10">
        <f>MIN(100,MAX(0,50+IF(H23=1,1,IF(H23=-1,-1,0))*30*MAX(0,(J23-1/3)/(1-1/3))))</f>
        <v/>
      </c>
    </row>
    <row r="24">
      <c r="A24" s="28">
        <f>'02_Market_Inputs'!A24</f>
        <v/>
      </c>
      <c r="B24" s="28">
        <f>'02_Market_Inputs'!B24</f>
        <v/>
      </c>
      <c r="C24" s="15" t="inlineStr">
        <is>
          <t>xgboost</t>
        </is>
      </c>
      <c r="D24" s="15" t="n">
        <v>8</v>
      </c>
      <c r="E24" s="15" t="n">
        <v>102</v>
      </c>
      <c r="F24" s="27" t="n">
        <v>0.4523</v>
      </c>
      <c r="G24" s="26" t="n">
        <v>0.4292</v>
      </c>
      <c r="H24" s="15" t="n">
        <v>1</v>
      </c>
      <c r="I24" s="15" t="inlineStr">
        <is>
          <t>UP</t>
        </is>
      </c>
      <c r="J24" s="27" t="n">
        <v>0.4244</v>
      </c>
      <c r="K24" s="10">
        <f>MIN(100,MAX(0,(F24+G24)/2*100))</f>
        <v/>
      </c>
      <c r="L24" s="10">
        <f>MIN(100,MAX(0,50+IF(H24=1,1,IF(H24=-1,-1,0))*30*MAX(0,(J24-1/3)/(1-1/3))))</f>
        <v/>
      </c>
    </row>
    <row r="25">
      <c r="A25" s="28">
        <f>'02_Market_Inputs'!A25</f>
        <v/>
      </c>
      <c r="B25" s="28">
        <f>'02_Market_Inputs'!B25</f>
        <v/>
      </c>
      <c r="C25" s="16" t="inlineStr">
        <is>
          <t>xgboost</t>
        </is>
      </c>
      <c r="D25" s="16" t="n">
        <v>8</v>
      </c>
      <c r="E25" s="16" t="n">
        <v>102</v>
      </c>
      <c r="F25" s="24" t="n">
        <v>0.4742</v>
      </c>
      <c r="G25" s="23" t="n">
        <v>0.4515</v>
      </c>
      <c r="H25" s="16" t="n">
        <v>0</v>
      </c>
      <c r="I25" s="16" t="inlineStr">
        <is>
          <t>NEUTRAL</t>
        </is>
      </c>
      <c r="J25" s="24" t="n">
        <v>0.5527</v>
      </c>
      <c r="K25" s="10">
        <f>MIN(100,MAX(0,(F25+G25)/2*100))</f>
        <v/>
      </c>
      <c r="L25" s="10">
        <f>MIN(100,MAX(0,50+IF(H25=1,1,IF(H25=-1,-1,0))*30*MAX(0,(J25-1/3)/(1-1/3))))</f>
        <v/>
      </c>
    </row>
    <row r="26">
      <c r="A26" s="28">
        <f>'02_Market_Inputs'!A26</f>
        <v/>
      </c>
      <c r="B26" s="28">
        <f>'02_Market_Inputs'!B26</f>
        <v/>
      </c>
      <c r="C26" s="15" t="inlineStr">
        <is>
          <t>xgboost</t>
        </is>
      </c>
      <c r="D26" s="15" t="n">
        <v>8</v>
      </c>
      <c r="E26" s="15" t="n">
        <v>104</v>
      </c>
      <c r="F26" s="27" t="n">
        <v>0.4806</v>
      </c>
      <c r="G26" s="26" t="n">
        <v>0.4527</v>
      </c>
      <c r="H26" s="15" t="n">
        <v>1</v>
      </c>
      <c r="I26" s="15" t="inlineStr">
        <is>
          <t>UP</t>
        </is>
      </c>
      <c r="J26" s="27" t="n">
        <v>0.5888</v>
      </c>
      <c r="K26" s="10">
        <f>MIN(100,MAX(0,(F26+G26)/2*100))</f>
        <v/>
      </c>
      <c r="L26" s="10">
        <f>MIN(100,MAX(0,50+IF(H26=1,1,IF(H26=-1,-1,0))*30*MAX(0,(J26-1/3)/(1-1/3))))</f>
        <v/>
      </c>
    </row>
    <row r="27">
      <c r="A27" s="28">
        <f>'02_Market_Inputs'!A27</f>
        <v/>
      </c>
      <c r="B27" s="28">
        <f>'02_Market_Inputs'!B27</f>
        <v/>
      </c>
      <c r="C27" s="16" t="inlineStr">
        <is>
          <t>xgboost</t>
        </is>
      </c>
      <c r="D27" s="16" t="n">
        <v>8</v>
      </c>
      <c r="E27" s="16" t="n">
        <v>104</v>
      </c>
      <c r="F27" s="24" t="n">
        <v>0.4385</v>
      </c>
      <c r="G27" s="23" t="n">
        <v>0.402</v>
      </c>
      <c r="H27" s="16" t="n">
        <v>1</v>
      </c>
      <c r="I27" s="16" t="inlineStr">
        <is>
          <t>UP</t>
        </is>
      </c>
      <c r="J27" s="24" t="n">
        <v>0.5324</v>
      </c>
      <c r="K27" s="10">
        <f>MIN(100,MAX(0,(F27+G27)/2*100))</f>
        <v/>
      </c>
      <c r="L27" s="10">
        <f>MIN(100,MAX(0,50+IF(H27=1,1,IF(H27=-1,-1,0))*30*MAX(0,(J27-1/3)/(1-1/3))))</f>
        <v/>
      </c>
    </row>
    <row r="28">
      <c r="A28" s="28">
        <f>'02_Market_Inputs'!A28</f>
        <v/>
      </c>
      <c r="B28" s="28">
        <f>'02_Market_Inputs'!B28</f>
        <v/>
      </c>
      <c r="C28" s="15" t="inlineStr">
        <is>
          <t>xgboost</t>
        </is>
      </c>
      <c r="D28" s="15" t="n">
        <v>8</v>
      </c>
      <c r="E28" s="15" t="n">
        <v>136</v>
      </c>
      <c r="F28" s="27" t="n">
        <v>0.4846</v>
      </c>
      <c r="G28" s="26" t="n">
        <v>0.4326</v>
      </c>
      <c r="H28" s="15" t="n">
        <v>-1</v>
      </c>
      <c r="I28" s="15" t="inlineStr">
        <is>
          <t>DOWN</t>
        </is>
      </c>
      <c r="J28" s="27" t="n">
        <v>0.6264999999999999</v>
      </c>
      <c r="K28" s="10">
        <f>MIN(100,MAX(0,(F28+G28)/2*100))</f>
        <v/>
      </c>
      <c r="L28" s="10">
        <f>MIN(100,MAX(0,50+IF(H28=1,1,IF(H28=-1,-1,0))*30*MAX(0,(J28-1/3)/(1-1/3))))</f>
        <v/>
      </c>
    </row>
  </sheetData>
  <pageMargins left="0.75" right="0.75" top="1" bottom="1" header="0.5" footer="0.5"/>
  <pageSetup fitToHeight="0" fitToWidth="1"/>
</worksheet>
</file>

<file path=xl/worksheets/sheet10.xml><?xml version="1.0" encoding="utf-8"?>
<worksheet xmlns="http://schemas.openxmlformats.org/spreadsheetml/2006/main">
  <sheetPr>
    <tabColor rgb="00334155"/>
    <outlinePr summaryBelow="1" summaryRight="1"/>
    <pageSetUpPr fitToPage="1"/>
  </sheetPr>
  <dimension ref="A1:F2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27" customWidth="1" min="2" max="2"/>
    <col width="20" customWidth="1" min="3" max="3"/>
    <col width="22" customWidth="1" min="4" max="4"/>
    <col width="25" customWidth="1" min="5" max="5"/>
    <col width="41" customWidth="1" min="6" max="6"/>
  </cols>
  <sheetData>
    <row r="1">
      <c r="A1" s="1" t="inlineStr">
        <is>
          <t>XGBOOST FEATURE GAIN IMPORTANCE — LATEST QUARTER</t>
        </is>
      </c>
    </row>
    <row r="2">
      <c r="A2" s="2" t="inlineStr">
        <is>
          <t>Gain values are model outputs; rank and cumulative contribution are formula-driven</t>
        </is>
      </c>
    </row>
    <row r="3"/>
    <row r="4"/>
    <row r="5" ht="32" customHeight="1">
      <c r="A5" s="18" t="inlineStr">
        <is>
          <t>Formula Rank</t>
        </is>
      </c>
      <c r="B5" s="18" t="inlineStr">
        <is>
          <t>Feature</t>
        </is>
      </c>
      <c r="C5" s="18" t="inlineStr">
        <is>
          <t>Category</t>
        </is>
      </c>
      <c r="D5" s="18" t="inlineStr">
        <is>
          <t>Gain</t>
        </is>
      </c>
      <c r="E5" s="18" t="inlineStr">
        <is>
          <t>Cumulative Gain by Rank</t>
        </is>
      </c>
      <c r="F5" s="18" t="inlineStr">
        <is>
          <t>Interpretation</t>
        </is>
      </c>
    </row>
    <row r="6">
      <c r="A6" s="28">
        <f>RANK.EQ(D6,$D$6:$D$20,0)</f>
        <v/>
      </c>
      <c r="B6" s="13" t="inlineStr">
        <is>
          <t>m2_yoy_pct</t>
        </is>
      </c>
      <c r="C6" s="15" t="inlineStr">
        <is>
          <t>Technical / Market</t>
        </is>
      </c>
      <c r="D6" s="34" t="n">
        <v>0.01707467995584011</v>
      </c>
      <c r="E6" s="35">
        <f>SUMIF($A$6:$A$20,"&lt;="&amp;A6,$D$6:$D$20)</f>
        <v/>
      </c>
      <c r="F6" s="15" t="inlineStr">
        <is>
          <t>XGBoost out-of-sample gain contribution</t>
        </is>
      </c>
    </row>
    <row r="7">
      <c r="A7" s="28">
        <f>RANK.EQ(D7,$D$6:$D$20,0)</f>
        <v/>
      </c>
      <c r="B7" s="8" t="inlineStr">
        <is>
          <t>bb_lower</t>
        </is>
      </c>
      <c r="C7" s="16" t="inlineStr">
        <is>
          <t>Technical / Market</t>
        </is>
      </c>
      <c r="D7" s="36" t="n">
        <v>0.01457174587994814</v>
      </c>
      <c r="E7" s="35">
        <f>SUMIF($A$6:$A$20,"&lt;="&amp;A7,$D$6:$D$20)</f>
        <v/>
      </c>
      <c r="F7" s="16" t="inlineStr">
        <is>
          <t>XGBoost out-of-sample gain contribution</t>
        </is>
      </c>
    </row>
    <row r="8">
      <c r="A8" s="28">
        <f>RANK.EQ(D8,$D$6:$D$20,0)</f>
        <v/>
      </c>
      <c r="B8" s="13" t="inlineStr">
        <is>
          <t>ema_20</t>
        </is>
      </c>
      <c r="C8" s="15" t="inlineStr">
        <is>
          <t>Technical / Market</t>
        </is>
      </c>
      <c r="D8" s="34" t="n">
        <v>0.01421605050563812</v>
      </c>
      <c r="E8" s="35">
        <f>SUMIF($A$6:$A$20,"&lt;="&amp;A8,$D$6:$D$20)</f>
        <v/>
      </c>
      <c r="F8" s="15" t="inlineStr">
        <is>
          <t>XGBoost out-of-sample gain contribution</t>
        </is>
      </c>
    </row>
    <row r="9">
      <c r="A9" s="28">
        <f>RANK.EQ(D9,$D$6:$D$20,0)</f>
        <v/>
      </c>
      <c r="B9" s="8" t="inlineStr">
        <is>
          <t>bb_mid</t>
        </is>
      </c>
      <c r="C9" s="16" t="inlineStr">
        <is>
          <t>Technical / Market</t>
        </is>
      </c>
      <c r="D9" s="36" t="n">
        <v>0.0133400084450841</v>
      </c>
      <c r="E9" s="35">
        <f>SUMIF($A$6:$A$20,"&lt;="&amp;A9,$D$6:$D$20)</f>
        <v/>
      </c>
      <c r="F9" s="16" t="inlineStr">
        <is>
          <t>XGBoost out-of-sample gain contribution</t>
        </is>
      </c>
    </row>
    <row r="10">
      <c r="A10" s="28">
        <f>RANK.EQ(D10,$D$6:$D$20,0)</f>
        <v/>
      </c>
      <c r="B10" s="13" t="inlineStr">
        <is>
          <t>us10y_30d_change</t>
        </is>
      </c>
      <c r="C10" s="15" t="inlineStr">
        <is>
          <t>Global / Rates</t>
        </is>
      </c>
      <c r="D10" s="34" t="n">
        <v>0.01314797159284353</v>
      </c>
      <c r="E10" s="35">
        <f>SUMIF($A$6:$A$20,"&lt;="&amp;A10,$D$6:$D$20)</f>
        <v/>
      </c>
      <c r="F10" s="15" t="inlineStr">
        <is>
          <t>XGBoost out-of-sample gain contribution</t>
        </is>
      </c>
    </row>
    <row r="11">
      <c r="A11" s="28">
        <f>RANK.EQ(D11,$D$6:$D$20,0)</f>
        <v/>
      </c>
      <c r="B11" s="8" t="inlineStr">
        <is>
          <t>us10y_zscore_1y</t>
        </is>
      </c>
      <c r="C11" s="16" t="inlineStr">
        <is>
          <t>Global / Rates</t>
        </is>
      </c>
      <c r="D11" s="36" t="n">
        <v>0.01264037005603313</v>
      </c>
      <c r="E11" s="35">
        <f>SUMIF($A$6:$A$20,"&lt;="&amp;A11,$D$6:$D$20)</f>
        <v/>
      </c>
      <c r="F11" s="16" t="inlineStr">
        <is>
          <t>XGBoost out-of-sample gain contribution</t>
        </is>
      </c>
    </row>
    <row r="12">
      <c r="A12" s="28">
        <f>RANK.EQ(D12,$D$6:$D$20,0)</f>
        <v/>
      </c>
      <c r="B12" s="13" t="inlineStr">
        <is>
          <t>oil_n_shock_days_ytd</t>
        </is>
      </c>
      <c r="C12" s="15" t="inlineStr">
        <is>
          <t>Technical / Market</t>
        </is>
      </c>
      <c r="D12" s="34" t="n">
        <v>0.01242248620837927</v>
      </c>
      <c r="E12" s="35">
        <f>SUMIF($A$6:$A$20,"&lt;="&amp;A12,$D$6:$D$20)</f>
        <v/>
      </c>
      <c r="F12" s="15" t="inlineStr">
        <is>
          <t>XGBoost out-of-sample gain contribution</t>
        </is>
      </c>
    </row>
    <row r="13">
      <c r="A13" s="28">
        <f>RANK.EQ(D13,$D$6:$D$20,0)</f>
        <v/>
      </c>
      <c r="B13" s="8" t="inlineStr">
        <is>
          <t>macd_line</t>
        </is>
      </c>
      <c r="C13" s="16" t="inlineStr">
        <is>
          <t>Technical / Market</t>
        </is>
      </c>
      <c r="D13" s="36" t="n">
        <v>0.01232288777828217</v>
      </c>
      <c r="E13" s="35">
        <f>SUMIF($A$6:$A$20,"&lt;="&amp;A13,$D$6:$D$20)</f>
        <v/>
      </c>
      <c r="F13" s="16" t="inlineStr">
        <is>
          <t>XGBoost out-of-sample gain contribution</t>
        </is>
      </c>
    </row>
    <row r="14">
      <c r="A14" s="28">
        <f>RANK.EQ(D14,$D$6:$D$20,0)</f>
        <v/>
      </c>
      <c r="B14" s="13" t="inlineStr">
        <is>
          <t>oil_max_weekly_change_ytd</t>
        </is>
      </c>
      <c r="C14" s="15" t="inlineStr">
        <is>
          <t>Technical / Market</t>
        </is>
      </c>
      <c r="D14" s="34" t="n">
        <v>0.01212919689714909</v>
      </c>
      <c r="E14" s="35">
        <f>SUMIF($A$6:$A$20,"&lt;="&amp;A14,$D$6:$D$20)</f>
        <v/>
      </c>
      <c r="F14" s="15" t="inlineStr">
        <is>
          <t>XGBoost out-of-sample gain contribution</t>
        </is>
      </c>
    </row>
    <row r="15">
      <c r="A15" s="28">
        <f>RANK.EQ(D15,$D$6:$D$20,0)</f>
        <v/>
      </c>
      <c r="B15" s="8" t="inlineStr">
        <is>
          <t>valuation_composite_score</t>
        </is>
      </c>
      <c r="C15" s="16" t="inlineStr">
        <is>
          <t>Technical / Market</t>
        </is>
      </c>
      <c r="D15" s="36" t="n">
        <v>0.01088140346109867</v>
      </c>
      <c r="E15" s="35">
        <f>SUMIF($A$6:$A$20,"&lt;="&amp;A15,$D$6:$D$20)</f>
        <v/>
      </c>
      <c r="F15" s="16" t="inlineStr">
        <is>
          <t>XGBoost out-of-sample gain contribution</t>
        </is>
      </c>
    </row>
    <row r="16">
      <c r="A16" s="28">
        <f>RANK.EQ(D16,$D$6:$D$20,0)</f>
        <v/>
      </c>
      <c r="B16" s="13" t="inlineStr">
        <is>
          <t>headline_pe</t>
        </is>
      </c>
      <c r="C16" s="15" t="inlineStr">
        <is>
          <t>Technical / Market</t>
        </is>
      </c>
      <c r="D16" s="34" t="n">
        <v>0.01080580707639456</v>
      </c>
      <c r="E16" s="35">
        <f>SUMIF($A$6:$A$20,"&lt;="&amp;A16,$D$6:$D$20)</f>
        <v/>
      </c>
      <c r="F16" s="15" t="inlineStr">
        <is>
          <t>XGBoost out-of-sample gain contribution</t>
        </is>
      </c>
    </row>
    <row r="17">
      <c r="A17" s="28">
        <f>RANK.EQ(D17,$D$6:$D$20,0)</f>
        <v/>
      </c>
      <c r="B17" s="8" t="inlineStr">
        <is>
          <t>dxy_zscore_60d</t>
        </is>
      </c>
      <c r="C17" s="16" t="inlineStr">
        <is>
          <t>Global / Rates</t>
        </is>
      </c>
      <c r="D17" s="36" t="n">
        <v>0.01069003902375698</v>
      </c>
      <c r="E17" s="35">
        <f>SUMIF($A$6:$A$20,"&lt;="&amp;A17,$D$6:$D$20)</f>
        <v/>
      </c>
      <c r="F17" s="16" t="inlineStr">
        <is>
          <t>XGBoost out-of-sample gain contribution</t>
        </is>
      </c>
    </row>
    <row r="18">
      <c r="A18" s="28">
        <f>RANK.EQ(D18,$D$6:$D$20,0)</f>
        <v/>
      </c>
      <c r="B18" s="13" t="inlineStr">
        <is>
          <t>nff_ex_etf_rolling60d</t>
        </is>
      </c>
      <c r="C18" s="15" t="inlineStr">
        <is>
          <t>Technical / Market</t>
        </is>
      </c>
      <c r="D18" s="34" t="n">
        <v>0.01060809195041656</v>
      </c>
      <c r="E18" s="35">
        <f>SUMIF($A$6:$A$20,"&lt;="&amp;A18,$D$6:$D$20)</f>
        <v/>
      </c>
      <c r="F18" s="15" t="inlineStr">
        <is>
          <t>XGBoost out-of-sample gain contribution</t>
        </is>
      </c>
    </row>
    <row r="19">
      <c r="A19" s="28">
        <f>RANK.EQ(D19,$D$6:$D$20,0)</f>
        <v/>
      </c>
      <c r="B19" s="8" t="inlineStr">
        <is>
          <t>price_vs_ma200</t>
        </is>
      </c>
      <c r="C19" s="16" t="inlineStr">
        <is>
          <t>Technical / Market</t>
        </is>
      </c>
      <c r="D19" s="36" t="n">
        <v>0.01058133877813816</v>
      </c>
      <c r="E19" s="35">
        <f>SUMIF($A$6:$A$20,"&lt;="&amp;A19,$D$6:$D$20)</f>
        <v/>
      </c>
      <c r="F19" s="16" t="inlineStr">
        <is>
          <t>XGBoost out-of-sample gain contribution</t>
        </is>
      </c>
    </row>
    <row r="20">
      <c r="A20" s="28">
        <f>RANK.EQ(D20,$D$6:$D$20,0)</f>
        <v/>
      </c>
      <c r="B20" s="13" t="inlineStr">
        <is>
          <t>macd_signal</t>
        </is>
      </c>
      <c r="C20" s="15" t="inlineStr">
        <is>
          <t>Technical / Market</t>
        </is>
      </c>
      <c r="D20" s="34" t="n">
        <v>0.01048300601541996</v>
      </c>
      <c r="E20" s="35">
        <f>SUMIF($A$6:$A$20,"&lt;="&amp;A20,$D$6:$D$20)</f>
        <v/>
      </c>
      <c r="F20" s="15" t="inlineStr">
        <is>
          <t>XGBoost out-of-sample gain contribution</t>
        </is>
      </c>
    </row>
  </sheetData>
  <pageMargins left="0.75" right="0.75" top="1" bottom="1" header="0.5" footer="0.5"/>
  <pageSetup fitToHeight="0" fitToWidth="1"/>
</worksheet>
</file>

<file path=xl/worksheets/sheet11.xml><?xml version="1.0" encoding="utf-8"?>
<worksheet xmlns="http://schemas.openxmlformats.org/spreadsheetml/2006/main">
  <sheetPr>
    <tabColor rgb="00047857"/>
    <outlinePr summaryBelow="1" summaryRight="1"/>
    <pageSetUpPr fitToPage="1"/>
  </sheetPr>
  <dimension ref="A1:S38"/>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42" customWidth="1" min="1" max="1"/>
    <col width="19" customWidth="1" min="2" max="2"/>
    <col width="27" customWidth="1" min="3" max="3"/>
    <col width="23" customWidth="1" min="4" max="4"/>
    <col width="42" customWidth="1" min="5" max="5"/>
    <col width="19" customWidth="1" min="6" max="6"/>
    <col width="15" customWidth="1" min="7" max="7"/>
    <col width="13" customWidth="1" min="8" max="8"/>
    <col width="22" customWidth="1" min="9" max="9"/>
    <col width="17" customWidth="1" min="10" max="10"/>
    <col width="14" customWidth="1" min="11" max="11"/>
    <col width="15" customWidth="1" min="12" max="12"/>
    <col width="11" customWidth="1" min="13" max="13"/>
    <col width="11" customWidth="1" min="14" max="14"/>
    <col width="15" customWidth="1" min="15" max="15"/>
    <col width="16" customWidth="1" min="16" max="16"/>
    <col width="20" customWidth="1" min="17" max="17"/>
    <col width="16" customWidth="1" min="18" max="18"/>
    <col width="20" customWidth="1" min="19" max="19"/>
  </cols>
  <sheetData>
    <row r="1">
      <c r="A1" s="1" t="inlineStr">
        <is>
          <t>ASSET-ALLOCATION BACKTEST &amp; SIGNAL EFFICACY</t>
        </is>
      </c>
    </row>
    <row r="2">
      <c r="A2" s="2" t="inlineStr">
        <is>
          <t>As-of close is strictly t−1; outcome close is separate. Dashboard-compatible t+1 returns are explicitly labelled, never used in scoring</t>
        </is>
      </c>
    </row>
    <row r="3"/>
    <row r="4" ht="32" customHeight="1">
      <c r="A4" s="18" t="inlineStr">
        <is>
          <t>Quarter</t>
        </is>
      </c>
      <c r="B4" s="18" t="inlineStr">
        <is>
          <t>As-of Close (t−1)</t>
        </is>
      </c>
      <c r="C4" s="18" t="inlineStr">
        <is>
          <t>Quarter-End Outcome Close</t>
        </is>
      </c>
      <c r="D4" s="18" t="inlineStr">
        <is>
          <t>Strict Quarter Return</t>
        </is>
      </c>
      <c r="E4" s="18" t="inlineStr">
        <is>
          <t>Dashboard Fwd Return (t+1)</t>
        </is>
      </c>
      <c r="F4" s="18" t="inlineStr">
        <is>
          <t>Calibrated Action</t>
        </is>
      </c>
      <c r="G4" s="18" t="inlineStr">
        <is>
          <t>Equity Weight</t>
        </is>
      </c>
      <c r="H4" s="18" t="inlineStr">
        <is>
          <t>Cash Weight</t>
        </is>
      </c>
      <c r="I4" s="18" t="inlineStr">
        <is>
          <t>Cash Quarterly Yield</t>
        </is>
      </c>
      <c r="J4" s="18" t="inlineStr">
        <is>
          <t>Strategy Return</t>
        </is>
      </c>
      <c r="K4" s="18" t="inlineStr">
        <is>
          <t>Strategy NAV</t>
        </is>
      </c>
      <c r="L4" s="18" t="inlineStr">
        <is>
          <t>Benchmark NAV</t>
        </is>
      </c>
      <c r="M4" s="18" t="inlineStr">
        <is>
          <t>Peak NAV</t>
        </is>
      </c>
      <c r="N4" s="18" t="inlineStr">
        <is>
          <t>Drawdown</t>
        </is>
      </c>
      <c r="O4" s="18" t="inlineStr">
        <is>
          <t>Direction Hit</t>
        </is>
      </c>
      <c r="P4" s="18" t="inlineStr">
        <is>
          <t>Raw Score Rank</t>
        </is>
      </c>
      <c r="Q4" s="18" t="inlineStr">
        <is>
          <t>Strict Return Rank</t>
        </is>
      </c>
      <c r="R4" s="18" t="inlineStr">
        <is>
          <t>Benchmark Peak</t>
        </is>
      </c>
      <c r="S4" s="18" t="inlineStr">
        <is>
          <t>Benchmark Drawdown</t>
        </is>
      </c>
    </row>
    <row r="5">
      <c r="A5" s="28">
        <f>'02_Market_Inputs'!A5</f>
        <v/>
      </c>
      <c r="B5" s="37">
        <f>'02_Market_Inputs'!C5</f>
        <v/>
      </c>
      <c r="C5" s="30">
        <f>'02_Market_Inputs'!D5</f>
        <v/>
      </c>
      <c r="D5" s="35">
        <f>IF(OR(B5=0,C5=0),"",C5/B5-1)</f>
        <v/>
      </c>
      <c r="E5" s="35">
        <f>IF(OR(C5=0,C6=0),0,C6/C5-1)</f>
        <v/>
      </c>
      <c r="F5" s="12">
        <f>'05_Composite_Calibration'!K5</f>
        <v/>
      </c>
      <c r="G5" s="35">
        <f>IF(F5='01_Model_Config'!$C$16,'01_Model_Config'!$F$16,IF(F5='01_Model_Config'!$C$17,'01_Model_Config'!$F$17,IF(F5='01_Model_Config'!$C$18,'01_Model_Config'!$F$18,IF(F5='01_Model_Config'!$C$19,'01_Model_Config'!$F$19,'01_Model_Config'!$F$20))))</f>
        <v/>
      </c>
      <c r="H5" s="35">
        <f>1-G5</f>
        <v/>
      </c>
      <c r="I5" s="35">
        <f>(1+'02_Market_Inputs'!E5/100)^0.25-1</f>
        <v/>
      </c>
      <c r="J5" s="35">
        <f>G5*E5+H5*I5</f>
        <v/>
      </c>
      <c r="K5" s="30">
        <f>'01_Model_Config'!$B$35*(1+J5)</f>
        <v/>
      </c>
      <c r="L5" s="30">
        <f>'01_Model_Config'!$B$35*(1+E5)</f>
        <v/>
      </c>
      <c r="M5" s="30">
        <f>MAX($K$5:K5)</f>
        <v/>
      </c>
      <c r="N5" s="35">
        <f>(K5-M5)/M5</f>
        <v/>
      </c>
      <c r="O5" s="12">
        <f>IF(OR(AND(F5="BUY",E5&gt;0),AND(F5="ACCUMULATE",E5&gt;0),AND(F5="HOLD",ABS(E5)&lt;0.05),AND(F5="REDUCE",E5&lt;0),AND(F5="SELL",E5&lt;0)),1,0)</f>
        <v/>
      </c>
      <c r="P5" s="12">
        <f>IF(ROW()&gt;=28,"",RANK.EQ('05_Composite_Calibration'!S5,'05_Composite_Calibration'!$S$5:$S$27,1)+(COUNTIF('05_Composite_Calibration'!$S$5:$S$27,'05_Composite_Calibration'!S5)-1)/2)</f>
        <v/>
      </c>
      <c r="Q5" s="12">
        <f>IF(ROW()&gt;=28,"",RANK.EQ(D5,$D$5:$D$27,1)+(COUNTIF($D$5:$D$27,D5)-1)/2)</f>
        <v/>
      </c>
      <c r="R5" s="30">
        <f>MAX($L$5:L5)</f>
        <v/>
      </c>
      <c r="S5" s="35">
        <f>(L5-R5)/R5</f>
        <v/>
      </c>
    </row>
    <row r="6">
      <c r="A6" s="28">
        <f>'02_Market_Inputs'!A6</f>
        <v/>
      </c>
      <c r="B6" s="37">
        <f>'02_Market_Inputs'!C6</f>
        <v/>
      </c>
      <c r="C6" s="30">
        <f>'02_Market_Inputs'!D6</f>
        <v/>
      </c>
      <c r="D6" s="35">
        <f>IF(OR(B6=0,C6=0),"",C6/B6-1)</f>
        <v/>
      </c>
      <c r="E6" s="35">
        <f>IF(OR(C6=0,C7=0),0,C7/C6-1)</f>
        <v/>
      </c>
      <c r="F6" s="12">
        <f>'05_Composite_Calibration'!K6</f>
        <v/>
      </c>
      <c r="G6" s="35">
        <f>IF(F6='01_Model_Config'!$C$16,'01_Model_Config'!$F$16,IF(F6='01_Model_Config'!$C$17,'01_Model_Config'!$F$17,IF(F6='01_Model_Config'!$C$18,'01_Model_Config'!$F$18,IF(F6='01_Model_Config'!$C$19,'01_Model_Config'!$F$19,'01_Model_Config'!$F$20))))</f>
        <v/>
      </c>
      <c r="H6" s="35">
        <f>1-G6</f>
        <v/>
      </c>
      <c r="I6" s="35">
        <f>(1+'02_Market_Inputs'!E6/100)^0.25-1</f>
        <v/>
      </c>
      <c r="J6" s="35">
        <f>G6*E6+H6*I6</f>
        <v/>
      </c>
      <c r="K6" s="30">
        <f>K5*(1+J6)</f>
        <v/>
      </c>
      <c r="L6" s="30">
        <f>L5*(1+E6)</f>
        <v/>
      </c>
      <c r="M6" s="30">
        <f>MAX($K$5:K6)</f>
        <v/>
      </c>
      <c r="N6" s="35">
        <f>(K6-M6)/M6</f>
        <v/>
      </c>
      <c r="O6" s="12">
        <f>IF(OR(AND(F6="BUY",E6&gt;0),AND(F6="ACCUMULATE",E6&gt;0),AND(F6="HOLD",ABS(E6)&lt;0.05),AND(F6="REDUCE",E6&lt;0),AND(F6="SELL",E6&lt;0)),1,0)</f>
        <v/>
      </c>
      <c r="P6" s="12">
        <f>IF(ROW()&gt;=28,"",RANK.EQ('05_Composite_Calibration'!S6,'05_Composite_Calibration'!$S$5:$S$27,1)+(COUNTIF('05_Composite_Calibration'!$S$5:$S$27,'05_Composite_Calibration'!S6)-1)/2)</f>
        <v/>
      </c>
      <c r="Q6" s="12">
        <f>IF(ROW()&gt;=28,"",RANK.EQ(D6,$D$5:$D$27,1)+(COUNTIF($D$5:$D$27,D6)-1)/2)</f>
        <v/>
      </c>
      <c r="R6" s="30">
        <f>MAX($L$5:L6)</f>
        <v/>
      </c>
      <c r="S6" s="35">
        <f>(L6-R6)/R6</f>
        <v/>
      </c>
    </row>
    <row r="7">
      <c r="A7" s="28">
        <f>'02_Market_Inputs'!A7</f>
        <v/>
      </c>
      <c r="B7" s="37">
        <f>'02_Market_Inputs'!C7</f>
        <v/>
      </c>
      <c r="C7" s="30">
        <f>'02_Market_Inputs'!D7</f>
        <v/>
      </c>
      <c r="D7" s="35">
        <f>IF(OR(B7=0,C7=0),"",C7/B7-1)</f>
        <v/>
      </c>
      <c r="E7" s="35">
        <f>IF(OR(C7=0,C8=0),0,C8/C7-1)</f>
        <v/>
      </c>
      <c r="F7" s="12">
        <f>'05_Composite_Calibration'!K7</f>
        <v/>
      </c>
      <c r="G7" s="35">
        <f>IF(F7='01_Model_Config'!$C$16,'01_Model_Config'!$F$16,IF(F7='01_Model_Config'!$C$17,'01_Model_Config'!$F$17,IF(F7='01_Model_Config'!$C$18,'01_Model_Config'!$F$18,IF(F7='01_Model_Config'!$C$19,'01_Model_Config'!$F$19,'01_Model_Config'!$F$20))))</f>
        <v/>
      </c>
      <c r="H7" s="35">
        <f>1-G7</f>
        <v/>
      </c>
      <c r="I7" s="35">
        <f>(1+'02_Market_Inputs'!E7/100)^0.25-1</f>
        <v/>
      </c>
      <c r="J7" s="35">
        <f>G7*E7+H7*I7</f>
        <v/>
      </c>
      <c r="K7" s="30">
        <f>K6*(1+J7)</f>
        <v/>
      </c>
      <c r="L7" s="30">
        <f>L6*(1+E7)</f>
        <v/>
      </c>
      <c r="M7" s="30">
        <f>MAX($K$5:K7)</f>
        <v/>
      </c>
      <c r="N7" s="35">
        <f>(K7-M7)/M7</f>
        <v/>
      </c>
      <c r="O7" s="12">
        <f>IF(OR(AND(F7="BUY",E7&gt;0),AND(F7="ACCUMULATE",E7&gt;0),AND(F7="HOLD",ABS(E7)&lt;0.05),AND(F7="REDUCE",E7&lt;0),AND(F7="SELL",E7&lt;0)),1,0)</f>
        <v/>
      </c>
      <c r="P7" s="12">
        <f>IF(ROW()&gt;=28,"",RANK.EQ('05_Composite_Calibration'!S7,'05_Composite_Calibration'!$S$5:$S$27,1)+(COUNTIF('05_Composite_Calibration'!$S$5:$S$27,'05_Composite_Calibration'!S7)-1)/2)</f>
        <v/>
      </c>
      <c r="Q7" s="12">
        <f>IF(ROW()&gt;=28,"",RANK.EQ(D7,$D$5:$D$27,1)+(COUNTIF($D$5:$D$27,D7)-1)/2)</f>
        <v/>
      </c>
      <c r="R7" s="30">
        <f>MAX($L$5:L7)</f>
        <v/>
      </c>
      <c r="S7" s="35">
        <f>(L7-R7)/R7</f>
        <v/>
      </c>
    </row>
    <row r="8">
      <c r="A8" s="28">
        <f>'02_Market_Inputs'!A8</f>
        <v/>
      </c>
      <c r="B8" s="37">
        <f>'02_Market_Inputs'!C8</f>
        <v/>
      </c>
      <c r="C8" s="30">
        <f>'02_Market_Inputs'!D8</f>
        <v/>
      </c>
      <c r="D8" s="35">
        <f>IF(OR(B8=0,C8=0),"",C8/B8-1)</f>
        <v/>
      </c>
      <c r="E8" s="35">
        <f>IF(OR(C8=0,C9=0),0,C9/C8-1)</f>
        <v/>
      </c>
      <c r="F8" s="12">
        <f>'05_Composite_Calibration'!K8</f>
        <v/>
      </c>
      <c r="G8" s="35">
        <f>IF(F8='01_Model_Config'!$C$16,'01_Model_Config'!$F$16,IF(F8='01_Model_Config'!$C$17,'01_Model_Config'!$F$17,IF(F8='01_Model_Config'!$C$18,'01_Model_Config'!$F$18,IF(F8='01_Model_Config'!$C$19,'01_Model_Config'!$F$19,'01_Model_Config'!$F$20))))</f>
        <v/>
      </c>
      <c r="H8" s="35">
        <f>1-G8</f>
        <v/>
      </c>
      <c r="I8" s="35">
        <f>(1+'02_Market_Inputs'!E8/100)^0.25-1</f>
        <v/>
      </c>
      <c r="J8" s="35">
        <f>G8*E8+H8*I8</f>
        <v/>
      </c>
      <c r="K8" s="30">
        <f>K7*(1+J8)</f>
        <v/>
      </c>
      <c r="L8" s="30">
        <f>L7*(1+E8)</f>
        <v/>
      </c>
      <c r="M8" s="30">
        <f>MAX($K$5:K8)</f>
        <v/>
      </c>
      <c r="N8" s="35">
        <f>(K8-M8)/M8</f>
        <v/>
      </c>
      <c r="O8" s="12">
        <f>IF(OR(AND(F8="BUY",E8&gt;0),AND(F8="ACCUMULATE",E8&gt;0),AND(F8="HOLD",ABS(E8)&lt;0.05),AND(F8="REDUCE",E8&lt;0),AND(F8="SELL",E8&lt;0)),1,0)</f>
        <v/>
      </c>
      <c r="P8" s="12">
        <f>IF(ROW()&gt;=28,"",RANK.EQ('05_Composite_Calibration'!S8,'05_Composite_Calibration'!$S$5:$S$27,1)+(COUNTIF('05_Composite_Calibration'!$S$5:$S$27,'05_Composite_Calibration'!S8)-1)/2)</f>
        <v/>
      </c>
      <c r="Q8" s="12">
        <f>IF(ROW()&gt;=28,"",RANK.EQ(D8,$D$5:$D$27,1)+(COUNTIF($D$5:$D$27,D8)-1)/2)</f>
        <v/>
      </c>
      <c r="R8" s="30">
        <f>MAX($L$5:L8)</f>
        <v/>
      </c>
      <c r="S8" s="35">
        <f>(L8-R8)/R8</f>
        <v/>
      </c>
    </row>
    <row r="9">
      <c r="A9" s="28">
        <f>'02_Market_Inputs'!A9</f>
        <v/>
      </c>
      <c r="B9" s="37">
        <f>'02_Market_Inputs'!C9</f>
        <v/>
      </c>
      <c r="C9" s="30">
        <f>'02_Market_Inputs'!D9</f>
        <v/>
      </c>
      <c r="D9" s="35">
        <f>IF(OR(B9=0,C9=0),"",C9/B9-1)</f>
        <v/>
      </c>
      <c r="E9" s="35">
        <f>IF(OR(C9=0,C10=0),0,C10/C9-1)</f>
        <v/>
      </c>
      <c r="F9" s="12">
        <f>'05_Composite_Calibration'!K9</f>
        <v/>
      </c>
      <c r="G9" s="35">
        <f>IF(F9='01_Model_Config'!$C$16,'01_Model_Config'!$F$16,IF(F9='01_Model_Config'!$C$17,'01_Model_Config'!$F$17,IF(F9='01_Model_Config'!$C$18,'01_Model_Config'!$F$18,IF(F9='01_Model_Config'!$C$19,'01_Model_Config'!$F$19,'01_Model_Config'!$F$20))))</f>
        <v/>
      </c>
      <c r="H9" s="35">
        <f>1-G9</f>
        <v/>
      </c>
      <c r="I9" s="35">
        <f>(1+'02_Market_Inputs'!E9/100)^0.25-1</f>
        <v/>
      </c>
      <c r="J9" s="35">
        <f>G9*E9+H9*I9</f>
        <v/>
      </c>
      <c r="K9" s="30">
        <f>K8*(1+J9)</f>
        <v/>
      </c>
      <c r="L9" s="30">
        <f>L8*(1+E9)</f>
        <v/>
      </c>
      <c r="M9" s="30">
        <f>MAX($K$5:K9)</f>
        <v/>
      </c>
      <c r="N9" s="35">
        <f>(K9-M9)/M9</f>
        <v/>
      </c>
      <c r="O9" s="12">
        <f>IF(OR(AND(F9="BUY",E9&gt;0),AND(F9="ACCUMULATE",E9&gt;0),AND(F9="HOLD",ABS(E9)&lt;0.05),AND(F9="REDUCE",E9&lt;0),AND(F9="SELL",E9&lt;0)),1,0)</f>
        <v/>
      </c>
      <c r="P9" s="12">
        <f>IF(ROW()&gt;=28,"",RANK.EQ('05_Composite_Calibration'!S9,'05_Composite_Calibration'!$S$5:$S$27,1)+(COUNTIF('05_Composite_Calibration'!$S$5:$S$27,'05_Composite_Calibration'!S9)-1)/2)</f>
        <v/>
      </c>
      <c r="Q9" s="12">
        <f>IF(ROW()&gt;=28,"",RANK.EQ(D9,$D$5:$D$27,1)+(COUNTIF($D$5:$D$27,D9)-1)/2)</f>
        <v/>
      </c>
      <c r="R9" s="30">
        <f>MAX($L$5:L9)</f>
        <v/>
      </c>
      <c r="S9" s="35">
        <f>(L9-R9)/R9</f>
        <v/>
      </c>
    </row>
    <row r="10">
      <c r="A10" s="28">
        <f>'02_Market_Inputs'!A10</f>
        <v/>
      </c>
      <c r="B10" s="37">
        <f>'02_Market_Inputs'!C10</f>
        <v/>
      </c>
      <c r="C10" s="30">
        <f>'02_Market_Inputs'!D10</f>
        <v/>
      </c>
      <c r="D10" s="35">
        <f>IF(OR(B10=0,C10=0),"",C10/B10-1)</f>
        <v/>
      </c>
      <c r="E10" s="35">
        <f>IF(OR(C10=0,C11=0),0,C11/C10-1)</f>
        <v/>
      </c>
      <c r="F10" s="12">
        <f>'05_Composite_Calibration'!K10</f>
        <v/>
      </c>
      <c r="G10" s="35">
        <f>IF(F10='01_Model_Config'!$C$16,'01_Model_Config'!$F$16,IF(F10='01_Model_Config'!$C$17,'01_Model_Config'!$F$17,IF(F10='01_Model_Config'!$C$18,'01_Model_Config'!$F$18,IF(F10='01_Model_Config'!$C$19,'01_Model_Config'!$F$19,'01_Model_Config'!$F$20))))</f>
        <v/>
      </c>
      <c r="H10" s="35">
        <f>1-G10</f>
        <v/>
      </c>
      <c r="I10" s="35">
        <f>(1+'02_Market_Inputs'!E10/100)^0.25-1</f>
        <v/>
      </c>
      <c r="J10" s="35">
        <f>G10*E10+H10*I10</f>
        <v/>
      </c>
      <c r="K10" s="30">
        <f>K9*(1+J10)</f>
        <v/>
      </c>
      <c r="L10" s="30">
        <f>L9*(1+E10)</f>
        <v/>
      </c>
      <c r="M10" s="30">
        <f>MAX($K$5:K10)</f>
        <v/>
      </c>
      <c r="N10" s="35">
        <f>(K10-M10)/M10</f>
        <v/>
      </c>
      <c r="O10" s="12">
        <f>IF(OR(AND(F10="BUY",E10&gt;0),AND(F10="ACCUMULATE",E10&gt;0),AND(F10="HOLD",ABS(E10)&lt;0.05),AND(F10="REDUCE",E10&lt;0),AND(F10="SELL",E10&lt;0)),1,0)</f>
        <v/>
      </c>
      <c r="P10" s="12">
        <f>IF(ROW()&gt;=28,"",RANK.EQ('05_Composite_Calibration'!S10,'05_Composite_Calibration'!$S$5:$S$27,1)+(COUNTIF('05_Composite_Calibration'!$S$5:$S$27,'05_Composite_Calibration'!S10)-1)/2)</f>
        <v/>
      </c>
      <c r="Q10" s="12">
        <f>IF(ROW()&gt;=28,"",RANK.EQ(D10,$D$5:$D$27,1)+(COUNTIF($D$5:$D$27,D10)-1)/2)</f>
        <v/>
      </c>
      <c r="R10" s="30">
        <f>MAX($L$5:L10)</f>
        <v/>
      </c>
      <c r="S10" s="35">
        <f>(L10-R10)/R10</f>
        <v/>
      </c>
    </row>
    <row r="11">
      <c r="A11" s="28">
        <f>'02_Market_Inputs'!A11</f>
        <v/>
      </c>
      <c r="B11" s="37">
        <f>'02_Market_Inputs'!C11</f>
        <v/>
      </c>
      <c r="C11" s="30">
        <f>'02_Market_Inputs'!D11</f>
        <v/>
      </c>
      <c r="D11" s="35">
        <f>IF(OR(B11=0,C11=0),"",C11/B11-1)</f>
        <v/>
      </c>
      <c r="E11" s="35">
        <f>IF(OR(C11=0,C12=0),0,C12/C11-1)</f>
        <v/>
      </c>
      <c r="F11" s="12">
        <f>'05_Composite_Calibration'!K11</f>
        <v/>
      </c>
      <c r="G11" s="35">
        <f>IF(F11='01_Model_Config'!$C$16,'01_Model_Config'!$F$16,IF(F11='01_Model_Config'!$C$17,'01_Model_Config'!$F$17,IF(F11='01_Model_Config'!$C$18,'01_Model_Config'!$F$18,IF(F11='01_Model_Config'!$C$19,'01_Model_Config'!$F$19,'01_Model_Config'!$F$20))))</f>
        <v/>
      </c>
      <c r="H11" s="35">
        <f>1-G11</f>
        <v/>
      </c>
      <c r="I11" s="35">
        <f>(1+'02_Market_Inputs'!E11/100)^0.25-1</f>
        <v/>
      </c>
      <c r="J11" s="35">
        <f>G11*E11+H11*I11</f>
        <v/>
      </c>
      <c r="K11" s="30">
        <f>K10*(1+J11)</f>
        <v/>
      </c>
      <c r="L11" s="30">
        <f>L10*(1+E11)</f>
        <v/>
      </c>
      <c r="M11" s="30">
        <f>MAX($K$5:K11)</f>
        <v/>
      </c>
      <c r="N11" s="35">
        <f>(K11-M11)/M11</f>
        <v/>
      </c>
      <c r="O11" s="12">
        <f>IF(OR(AND(F11="BUY",E11&gt;0),AND(F11="ACCUMULATE",E11&gt;0),AND(F11="HOLD",ABS(E11)&lt;0.05),AND(F11="REDUCE",E11&lt;0),AND(F11="SELL",E11&lt;0)),1,0)</f>
        <v/>
      </c>
      <c r="P11" s="12">
        <f>IF(ROW()&gt;=28,"",RANK.EQ('05_Composite_Calibration'!S11,'05_Composite_Calibration'!$S$5:$S$27,1)+(COUNTIF('05_Composite_Calibration'!$S$5:$S$27,'05_Composite_Calibration'!S11)-1)/2)</f>
        <v/>
      </c>
      <c r="Q11" s="12">
        <f>IF(ROW()&gt;=28,"",RANK.EQ(D11,$D$5:$D$27,1)+(COUNTIF($D$5:$D$27,D11)-1)/2)</f>
        <v/>
      </c>
      <c r="R11" s="30">
        <f>MAX($L$5:L11)</f>
        <v/>
      </c>
      <c r="S11" s="35">
        <f>(L11-R11)/R11</f>
        <v/>
      </c>
    </row>
    <row r="12">
      <c r="A12" s="28">
        <f>'02_Market_Inputs'!A12</f>
        <v/>
      </c>
      <c r="B12" s="37">
        <f>'02_Market_Inputs'!C12</f>
        <v/>
      </c>
      <c r="C12" s="30">
        <f>'02_Market_Inputs'!D12</f>
        <v/>
      </c>
      <c r="D12" s="35">
        <f>IF(OR(B12=0,C12=0),"",C12/B12-1)</f>
        <v/>
      </c>
      <c r="E12" s="35">
        <f>IF(OR(C12=0,C13=0),0,C13/C12-1)</f>
        <v/>
      </c>
      <c r="F12" s="12">
        <f>'05_Composite_Calibration'!K12</f>
        <v/>
      </c>
      <c r="G12" s="35">
        <f>IF(F12='01_Model_Config'!$C$16,'01_Model_Config'!$F$16,IF(F12='01_Model_Config'!$C$17,'01_Model_Config'!$F$17,IF(F12='01_Model_Config'!$C$18,'01_Model_Config'!$F$18,IF(F12='01_Model_Config'!$C$19,'01_Model_Config'!$F$19,'01_Model_Config'!$F$20))))</f>
        <v/>
      </c>
      <c r="H12" s="35">
        <f>1-G12</f>
        <v/>
      </c>
      <c r="I12" s="35">
        <f>(1+'02_Market_Inputs'!E12/100)^0.25-1</f>
        <v/>
      </c>
      <c r="J12" s="35">
        <f>G12*E12+H12*I12</f>
        <v/>
      </c>
      <c r="K12" s="30">
        <f>K11*(1+J12)</f>
        <v/>
      </c>
      <c r="L12" s="30">
        <f>L11*(1+E12)</f>
        <v/>
      </c>
      <c r="M12" s="30">
        <f>MAX($K$5:K12)</f>
        <v/>
      </c>
      <c r="N12" s="35">
        <f>(K12-M12)/M12</f>
        <v/>
      </c>
      <c r="O12" s="12">
        <f>IF(OR(AND(F12="BUY",E12&gt;0),AND(F12="ACCUMULATE",E12&gt;0),AND(F12="HOLD",ABS(E12)&lt;0.05),AND(F12="REDUCE",E12&lt;0),AND(F12="SELL",E12&lt;0)),1,0)</f>
        <v/>
      </c>
      <c r="P12" s="12">
        <f>IF(ROW()&gt;=28,"",RANK.EQ('05_Composite_Calibration'!S12,'05_Composite_Calibration'!$S$5:$S$27,1)+(COUNTIF('05_Composite_Calibration'!$S$5:$S$27,'05_Composite_Calibration'!S12)-1)/2)</f>
        <v/>
      </c>
      <c r="Q12" s="12">
        <f>IF(ROW()&gt;=28,"",RANK.EQ(D12,$D$5:$D$27,1)+(COUNTIF($D$5:$D$27,D12)-1)/2)</f>
        <v/>
      </c>
      <c r="R12" s="30">
        <f>MAX($L$5:L12)</f>
        <v/>
      </c>
      <c r="S12" s="35">
        <f>(L12-R12)/R12</f>
        <v/>
      </c>
    </row>
    <row r="13">
      <c r="A13" s="28">
        <f>'02_Market_Inputs'!A13</f>
        <v/>
      </c>
      <c r="B13" s="37">
        <f>'02_Market_Inputs'!C13</f>
        <v/>
      </c>
      <c r="C13" s="30">
        <f>'02_Market_Inputs'!D13</f>
        <v/>
      </c>
      <c r="D13" s="35">
        <f>IF(OR(B13=0,C13=0),"",C13/B13-1)</f>
        <v/>
      </c>
      <c r="E13" s="35">
        <f>IF(OR(C13=0,C14=0),0,C14/C13-1)</f>
        <v/>
      </c>
      <c r="F13" s="12">
        <f>'05_Composite_Calibration'!K13</f>
        <v/>
      </c>
      <c r="G13" s="35">
        <f>IF(F13='01_Model_Config'!$C$16,'01_Model_Config'!$F$16,IF(F13='01_Model_Config'!$C$17,'01_Model_Config'!$F$17,IF(F13='01_Model_Config'!$C$18,'01_Model_Config'!$F$18,IF(F13='01_Model_Config'!$C$19,'01_Model_Config'!$F$19,'01_Model_Config'!$F$20))))</f>
        <v/>
      </c>
      <c r="H13" s="35">
        <f>1-G13</f>
        <v/>
      </c>
      <c r="I13" s="35">
        <f>(1+'02_Market_Inputs'!E13/100)^0.25-1</f>
        <v/>
      </c>
      <c r="J13" s="35">
        <f>G13*E13+H13*I13</f>
        <v/>
      </c>
      <c r="K13" s="30">
        <f>K12*(1+J13)</f>
        <v/>
      </c>
      <c r="L13" s="30">
        <f>L12*(1+E13)</f>
        <v/>
      </c>
      <c r="M13" s="30">
        <f>MAX($K$5:K13)</f>
        <v/>
      </c>
      <c r="N13" s="35">
        <f>(K13-M13)/M13</f>
        <v/>
      </c>
      <c r="O13" s="12">
        <f>IF(OR(AND(F13="BUY",E13&gt;0),AND(F13="ACCUMULATE",E13&gt;0),AND(F13="HOLD",ABS(E13)&lt;0.05),AND(F13="REDUCE",E13&lt;0),AND(F13="SELL",E13&lt;0)),1,0)</f>
        <v/>
      </c>
      <c r="P13" s="12">
        <f>IF(ROW()&gt;=28,"",RANK.EQ('05_Composite_Calibration'!S13,'05_Composite_Calibration'!$S$5:$S$27,1)+(COUNTIF('05_Composite_Calibration'!$S$5:$S$27,'05_Composite_Calibration'!S13)-1)/2)</f>
        <v/>
      </c>
      <c r="Q13" s="12">
        <f>IF(ROW()&gt;=28,"",RANK.EQ(D13,$D$5:$D$27,1)+(COUNTIF($D$5:$D$27,D13)-1)/2)</f>
        <v/>
      </c>
      <c r="R13" s="30">
        <f>MAX($L$5:L13)</f>
        <v/>
      </c>
      <c r="S13" s="35">
        <f>(L13-R13)/R13</f>
        <v/>
      </c>
    </row>
    <row r="14">
      <c r="A14" s="28">
        <f>'02_Market_Inputs'!A14</f>
        <v/>
      </c>
      <c r="B14" s="37">
        <f>'02_Market_Inputs'!C14</f>
        <v/>
      </c>
      <c r="C14" s="30">
        <f>'02_Market_Inputs'!D14</f>
        <v/>
      </c>
      <c r="D14" s="35">
        <f>IF(OR(B14=0,C14=0),"",C14/B14-1)</f>
        <v/>
      </c>
      <c r="E14" s="35">
        <f>IF(OR(C14=0,C15=0),0,C15/C14-1)</f>
        <v/>
      </c>
      <c r="F14" s="12">
        <f>'05_Composite_Calibration'!K14</f>
        <v/>
      </c>
      <c r="G14" s="35">
        <f>IF(F14='01_Model_Config'!$C$16,'01_Model_Config'!$F$16,IF(F14='01_Model_Config'!$C$17,'01_Model_Config'!$F$17,IF(F14='01_Model_Config'!$C$18,'01_Model_Config'!$F$18,IF(F14='01_Model_Config'!$C$19,'01_Model_Config'!$F$19,'01_Model_Config'!$F$20))))</f>
        <v/>
      </c>
      <c r="H14" s="35">
        <f>1-G14</f>
        <v/>
      </c>
      <c r="I14" s="35">
        <f>(1+'02_Market_Inputs'!E14/100)^0.25-1</f>
        <v/>
      </c>
      <c r="J14" s="35">
        <f>G14*E14+H14*I14</f>
        <v/>
      </c>
      <c r="K14" s="30">
        <f>K13*(1+J14)</f>
        <v/>
      </c>
      <c r="L14" s="30">
        <f>L13*(1+E14)</f>
        <v/>
      </c>
      <c r="M14" s="30">
        <f>MAX($K$5:K14)</f>
        <v/>
      </c>
      <c r="N14" s="35">
        <f>(K14-M14)/M14</f>
        <v/>
      </c>
      <c r="O14" s="12">
        <f>IF(OR(AND(F14="BUY",E14&gt;0),AND(F14="ACCUMULATE",E14&gt;0),AND(F14="HOLD",ABS(E14)&lt;0.05),AND(F14="REDUCE",E14&lt;0),AND(F14="SELL",E14&lt;0)),1,0)</f>
        <v/>
      </c>
      <c r="P14" s="12">
        <f>IF(ROW()&gt;=28,"",RANK.EQ('05_Composite_Calibration'!S14,'05_Composite_Calibration'!$S$5:$S$27,1)+(COUNTIF('05_Composite_Calibration'!$S$5:$S$27,'05_Composite_Calibration'!S14)-1)/2)</f>
        <v/>
      </c>
      <c r="Q14" s="12">
        <f>IF(ROW()&gt;=28,"",RANK.EQ(D14,$D$5:$D$27,1)+(COUNTIF($D$5:$D$27,D14)-1)/2)</f>
        <v/>
      </c>
      <c r="R14" s="30">
        <f>MAX($L$5:L14)</f>
        <v/>
      </c>
      <c r="S14" s="35">
        <f>(L14-R14)/R14</f>
        <v/>
      </c>
    </row>
    <row r="15">
      <c r="A15" s="28">
        <f>'02_Market_Inputs'!A15</f>
        <v/>
      </c>
      <c r="B15" s="37">
        <f>'02_Market_Inputs'!C15</f>
        <v/>
      </c>
      <c r="C15" s="30">
        <f>'02_Market_Inputs'!D15</f>
        <v/>
      </c>
      <c r="D15" s="35">
        <f>IF(OR(B15=0,C15=0),"",C15/B15-1)</f>
        <v/>
      </c>
      <c r="E15" s="35">
        <f>IF(OR(C15=0,C16=0),0,C16/C15-1)</f>
        <v/>
      </c>
      <c r="F15" s="12">
        <f>'05_Composite_Calibration'!K15</f>
        <v/>
      </c>
      <c r="G15" s="35">
        <f>IF(F15='01_Model_Config'!$C$16,'01_Model_Config'!$F$16,IF(F15='01_Model_Config'!$C$17,'01_Model_Config'!$F$17,IF(F15='01_Model_Config'!$C$18,'01_Model_Config'!$F$18,IF(F15='01_Model_Config'!$C$19,'01_Model_Config'!$F$19,'01_Model_Config'!$F$20))))</f>
        <v/>
      </c>
      <c r="H15" s="35">
        <f>1-G15</f>
        <v/>
      </c>
      <c r="I15" s="35">
        <f>(1+'02_Market_Inputs'!E15/100)^0.25-1</f>
        <v/>
      </c>
      <c r="J15" s="35">
        <f>G15*E15+H15*I15</f>
        <v/>
      </c>
      <c r="K15" s="30">
        <f>K14*(1+J15)</f>
        <v/>
      </c>
      <c r="L15" s="30">
        <f>L14*(1+E15)</f>
        <v/>
      </c>
      <c r="M15" s="30">
        <f>MAX($K$5:K15)</f>
        <v/>
      </c>
      <c r="N15" s="35">
        <f>(K15-M15)/M15</f>
        <v/>
      </c>
      <c r="O15" s="12">
        <f>IF(OR(AND(F15="BUY",E15&gt;0),AND(F15="ACCUMULATE",E15&gt;0),AND(F15="HOLD",ABS(E15)&lt;0.05),AND(F15="REDUCE",E15&lt;0),AND(F15="SELL",E15&lt;0)),1,0)</f>
        <v/>
      </c>
      <c r="P15" s="12">
        <f>IF(ROW()&gt;=28,"",RANK.EQ('05_Composite_Calibration'!S15,'05_Composite_Calibration'!$S$5:$S$27,1)+(COUNTIF('05_Composite_Calibration'!$S$5:$S$27,'05_Composite_Calibration'!S15)-1)/2)</f>
        <v/>
      </c>
      <c r="Q15" s="12">
        <f>IF(ROW()&gt;=28,"",RANK.EQ(D15,$D$5:$D$27,1)+(COUNTIF($D$5:$D$27,D15)-1)/2)</f>
        <v/>
      </c>
      <c r="R15" s="30">
        <f>MAX($L$5:L15)</f>
        <v/>
      </c>
      <c r="S15" s="35">
        <f>(L15-R15)/R15</f>
        <v/>
      </c>
    </row>
    <row r="16">
      <c r="A16" s="28">
        <f>'02_Market_Inputs'!A16</f>
        <v/>
      </c>
      <c r="B16" s="37">
        <f>'02_Market_Inputs'!C16</f>
        <v/>
      </c>
      <c r="C16" s="30">
        <f>'02_Market_Inputs'!D16</f>
        <v/>
      </c>
      <c r="D16" s="35">
        <f>IF(OR(B16=0,C16=0),"",C16/B16-1)</f>
        <v/>
      </c>
      <c r="E16" s="35">
        <f>IF(OR(C16=0,C17=0),0,C17/C16-1)</f>
        <v/>
      </c>
      <c r="F16" s="12">
        <f>'05_Composite_Calibration'!K16</f>
        <v/>
      </c>
      <c r="G16" s="35">
        <f>IF(F16='01_Model_Config'!$C$16,'01_Model_Config'!$F$16,IF(F16='01_Model_Config'!$C$17,'01_Model_Config'!$F$17,IF(F16='01_Model_Config'!$C$18,'01_Model_Config'!$F$18,IF(F16='01_Model_Config'!$C$19,'01_Model_Config'!$F$19,'01_Model_Config'!$F$20))))</f>
        <v/>
      </c>
      <c r="H16" s="35">
        <f>1-G16</f>
        <v/>
      </c>
      <c r="I16" s="35">
        <f>(1+'02_Market_Inputs'!E16/100)^0.25-1</f>
        <v/>
      </c>
      <c r="J16" s="35">
        <f>G16*E16+H16*I16</f>
        <v/>
      </c>
      <c r="K16" s="30">
        <f>K15*(1+J16)</f>
        <v/>
      </c>
      <c r="L16" s="30">
        <f>L15*(1+E16)</f>
        <v/>
      </c>
      <c r="M16" s="30">
        <f>MAX($K$5:K16)</f>
        <v/>
      </c>
      <c r="N16" s="35">
        <f>(K16-M16)/M16</f>
        <v/>
      </c>
      <c r="O16" s="12">
        <f>IF(OR(AND(F16="BUY",E16&gt;0),AND(F16="ACCUMULATE",E16&gt;0),AND(F16="HOLD",ABS(E16)&lt;0.05),AND(F16="REDUCE",E16&lt;0),AND(F16="SELL",E16&lt;0)),1,0)</f>
        <v/>
      </c>
      <c r="P16" s="12">
        <f>IF(ROW()&gt;=28,"",RANK.EQ('05_Composite_Calibration'!S16,'05_Composite_Calibration'!$S$5:$S$27,1)+(COUNTIF('05_Composite_Calibration'!$S$5:$S$27,'05_Composite_Calibration'!S16)-1)/2)</f>
        <v/>
      </c>
      <c r="Q16" s="12">
        <f>IF(ROW()&gt;=28,"",RANK.EQ(D16,$D$5:$D$27,1)+(COUNTIF($D$5:$D$27,D16)-1)/2)</f>
        <v/>
      </c>
      <c r="R16" s="30">
        <f>MAX($L$5:L16)</f>
        <v/>
      </c>
      <c r="S16" s="35">
        <f>(L16-R16)/R16</f>
        <v/>
      </c>
    </row>
    <row r="17">
      <c r="A17" s="28">
        <f>'02_Market_Inputs'!A17</f>
        <v/>
      </c>
      <c r="B17" s="37">
        <f>'02_Market_Inputs'!C17</f>
        <v/>
      </c>
      <c r="C17" s="30">
        <f>'02_Market_Inputs'!D17</f>
        <v/>
      </c>
      <c r="D17" s="35">
        <f>IF(OR(B17=0,C17=0),"",C17/B17-1)</f>
        <v/>
      </c>
      <c r="E17" s="35">
        <f>IF(OR(C17=0,C18=0),0,C18/C17-1)</f>
        <v/>
      </c>
      <c r="F17" s="12">
        <f>'05_Composite_Calibration'!K17</f>
        <v/>
      </c>
      <c r="G17" s="35">
        <f>IF(F17='01_Model_Config'!$C$16,'01_Model_Config'!$F$16,IF(F17='01_Model_Config'!$C$17,'01_Model_Config'!$F$17,IF(F17='01_Model_Config'!$C$18,'01_Model_Config'!$F$18,IF(F17='01_Model_Config'!$C$19,'01_Model_Config'!$F$19,'01_Model_Config'!$F$20))))</f>
        <v/>
      </c>
      <c r="H17" s="35">
        <f>1-G17</f>
        <v/>
      </c>
      <c r="I17" s="35">
        <f>(1+'02_Market_Inputs'!E17/100)^0.25-1</f>
        <v/>
      </c>
      <c r="J17" s="35">
        <f>G17*E17+H17*I17</f>
        <v/>
      </c>
      <c r="K17" s="30">
        <f>K16*(1+J17)</f>
        <v/>
      </c>
      <c r="L17" s="30">
        <f>L16*(1+E17)</f>
        <v/>
      </c>
      <c r="M17" s="30">
        <f>MAX($K$5:K17)</f>
        <v/>
      </c>
      <c r="N17" s="35">
        <f>(K17-M17)/M17</f>
        <v/>
      </c>
      <c r="O17" s="12">
        <f>IF(OR(AND(F17="BUY",E17&gt;0),AND(F17="ACCUMULATE",E17&gt;0),AND(F17="HOLD",ABS(E17)&lt;0.05),AND(F17="REDUCE",E17&lt;0),AND(F17="SELL",E17&lt;0)),1,0)</f>
        <v/>
      </c>
      <c r="P17" s="12">
        <f>IF(ROW()&gt;=28,"",RANK.EQ('05_Composite_Calibration'!S17,'05_Composite_Calibration'!$S$5:$S$27,1)+(COUNTIF('05_Composite_Calibration'!$S$5:$S$27,'05_Composite_Calibration'!S17)-1)/2)</f>
        <v/>
      </c>
      <c r="Q17" s="12">
        <f>IF(ROW()&gt;=28,"",RANK.EQ(D17,$D$5:$D$27,1)+(COUNTIF($D$5:$D$27,D17)-1)/2)</f>
        <v/>
      </c>
      <c r="R17" s="30">
        <f>MAX($L$5:L17)</f>
        <v/>
      </c>
      <c r="S17" s="35">
        <f>(L17-R17)/R17</f>
        <v/>
      </c>
    </row>
    <row r="18">
      <c r="A18" s="28">
        <f>'02_Market_Inputs'!A18</f>
        <v/>
      </c>
      <c r="B18" s="37">
        <f>'02_Market_Inputs'!C18</f>
        <v/>
      </c>
      <c r="C18" s="30">
        <f>'02_Market_Inputs'!D18</f>
        <v/>
      </c>
      <c r="D18" s="35">
        <f>IF(OR(B18=0,C18=0),"",C18/B18-1)</f>
        <v/>
      </c>
      <c r="E18" s="35">
        <f>IF(OR(C18=0,C19=0),0,C19/C18-1)</f>
        <v/>
      </c>
      <c r="F18" s="12">
        <f>'05_Composite_Calibration'!K18</f>
        <v/>
      </c>
      <c r="G18" s="35">
        <f>IF(F18='01_Model_Config'!$C$16,'01_Model_Config'!$F$16,IF(F18='01_Model_Config'!$C$17,'01_Model_Config'!$F$17,IF(F18='01_Model_Config'!$C$18,'01_Model_Config'!$F$18,IF(F18='01_Model_Config'!$C$19,'01_Model_Config'!$F$19,'01_Model_Config'!$F$20))))</f>
        <v/>
      </c>
      <c r="H18" s="35">
        <f>1-G18</f>
        <v/>
      </c>
      <c r="I18" s="35">
        <f>(1+'02_Market_Inputs'!E18/100)^0.25-1</f>
        <v/>
      </c>
      <c r="J18" s="35">
        <f>G18*E18+H18*I18</f>
        <v/>
      </c>
      <c r="K18" s="30">
        <f>K17*(1+J18)</f>
        <v/>
      </c>
      <c r="L18" s="30">
        <f>L17*(1+E18)</f>
        <v/>
      </c>
      <c r="M18" s="30">
        <f>MAX($K$5:K18)</f>
        <v/>
      </c>
      <c r="N18" s="35">
        <f>(K18-M18)/M18</f>
        <v/>
      </c>
      <c r="O18" s="12">
        <f>IF(OR(AND(F18="BUY",E18&gt;0),AND(F18="ACCUMULATE",E18&gt;0),AND(F18="HOLD",ABS(E18)&lt;0.05),AND(F18="REDUCE",E18&lt;0),AND(F18="SELL",E18&lt;0)),1,0)</f>
        <v/>
      </c>
      <c r="P18" s="12">
        <f>IF(ROW()&gt;=28,"",RANK.EQ('05_Composite_Calibration'!S18,'05_Composite_Calibration'!$S$5:$S$27,1)+(COUNTIF('05_Composite_Calibration'!$S$5:$S$27,'05_Composite_Calibration'!S18)-1)/2)</f>
        <v/>
      </c>
      <c r="Q18" s="12">
        <f>IF(ROW()&gt;=28,"",RANK.EQ(D18,$D$5:$D$27,1)+(COUNTIF($D$5:$D$27,D18)-1)/2)</f>
        <v/>
      </c>
      <c r="R18" s="30">
        <f>MAX($L$5:L18)</f>
        <v/>
      </c>
      <c r="S18" s="35">
        <f>(L18-R18)/R18</f>
        <v/>
      </c>
    </row>
    <row r="19">
      <c r="A19" s="28">
        <f>'02_Market_Inputs'!A19</f>
        <v/>
      </c>
      <c r="B19" s="37">
        <f>'02_Market_Inputs'!C19</f>
        <v/>
      </c>
      <c r="C19" s="30">
        <f>'02_Market_Inputs'!D19</f>
        <v/>
      </c>
      <c r="D19" s="35">
        <f>IF(OR(B19=0,C19=0),"",C19/B19-1)</f>
        <v/>
      </c>
      <c r="E19" s="35">
        <f>IF(OR(C19=0,C20=0),0,C20/C19-1)</f>
        <v/>
      </c>
      <c r="F19" s="12">
        <f>'05_Composite_Calibration'!K19</f>
        <v/>
      </c>
      <c r="G19" s="35">
        <f>IF(F19='01_Model_Config'!$C$16,'01_Model_Config'!$F$16,IF(F19='01_Model_Config'!$C$17,'01_Model_Config'!$F$17,IF(F19='01_Model_Config'!$C$18,'01_Model_Config'!$F$18,IF(F19='01_Model_Config'!$C$19,'01_Model_Config'!$F$19,'01_Model_Config'!$F$20))))</f>
        <v/>
      </c>
      <c r="H19" s="35">
        <f>1-G19</f>
        <v/>
      </c>
      <c r="I19" s="35">
        <f>(1+'02_Market_Inputs'!E19/100)^0.25-1</f>
        <v/>
      </c>
      <c r="J19" s="35">
        <f>G19*E19+H19*I19</f>
        <v/>
      </c>
      <c r="K19" s="30">
        <f>K18*(1+J19)</f>
        <v/>
      </c>
      <c r="L19" s="30">
        <f>L18*(1+E19)</f>
        <v/>
      </c>
      <c r="M19" s="30">
        <f>MAX($K$5:K19)</f>
        <v/>
      </c>
      <c r="N19" s="35">
        <f>(K19-M19)/M19</f>
        <v/>
      </c>
      <c r="O19" s="12">
        <f>IF(OR(AND(F19="BUY",E19&gt;0),AND(F19="ACCUMULATE",E19&gt;0),AND(F19="HOLD",ABS(E19)&lt;0.05),AND(F19="REDUCE",E19&lt;0),AND(F19="SELL",E19&lt;0)),1,0)</f>
        <v/>
      </c>
      <c r="P19" s="12">
        <f>IF(ROW()&gt;=28,"",RANK.EQ('05_Composite_Calibration'!S19,'05_Composite_Calibration'!$S$5:$S$27,1)+(COUNTIF('05_Composite_Calibration'!$S$5:$S$27,'05_Composite_Calibration'!S19)-1)/2)</f>
        <v/>
      </c>
      <c r="Q19" s="12">
        <f>IF(ROW()&gt;=28,"",RANK.EQ(D19,$D$5:$D$27,1)+(COUNTIF($D$5:$D$27,D19)-1)/2)</f>
        <v/>
      </c>
      <c r="R19" s="30">
        <f>MAX($L$5:L19)</f>
        <v/>
      </c>
      <c r="S19" s="35">
        <f>(L19-R19)/R19</f>
        <v/>
      </c>
    </row>
    <row r="20">
      <c r="A20" s="28">
        <f>'02_Market_Inputs'!A20</f>
        <v/>
      </c>
      <c r="B20" s="37">
        <f>'02_Market_Inputs'!C20</f>
        <v/>
      </c>
      <c r="C20" s="30">
        <f>'02_Market_Inputs'!D20</f>
        <v/>
      </c>
      <c r="D20" s="35">
        <f>IF(OR(B20=0,C20=0),"",C20/B20-1)</f>
        <v/>
      </c>
      <c r="E20" s="35">
        <f>IF(OR(C20=0,C21=0),0,C21/C20-1)</f>
        <v/>
      </c>
      <c r="F20" s="12">
        <f>'05_Composite_Calibration'!K20</f>
        <v/>
      </c>
      <c r="G20" s="35">
        <f>IF(F20='01_Model_Config'!$C$16,'01_Model_Config'!$F$16,IF(F20='01_Model_Config'!$C$17,'01_Model_Config'!$F$17,IF(F20='01_Model_Config'!$C$18,'01_Model_Config'!$F$18,IF(F20='01_Model_Config'!$C$19,'01_Model_Config'!$F$19,'01_Model_Config'!$F$20))))</f>
        <v/>
      </c>
      <c r="H20" s="35">
        <f>1-G20</f>
        <v/>
      </c>
      <c r="I20" s="35">
        <f>(1+'02_Market_Inputs'!E20/100)^0.25-1</f>
        <v/>
      </c>
      <c r="J20" s="35">
        <f>G20*E20+H20*I20</f>
        <v/>
      </c>
      <c r="K20" s="30">
        <f>K19*(1+J20)</f>
        <v/>
      </c>
      <c r="L20" s="30">
        <f>L19*(1+E20)</f>
        <v/>
      </c>
      <c r="M20" s="30">
        <f>MAX($K$5:K20)</f>
        <v/>
      </c>
      <c r="N20" s="35">
        <f>(K20-M20)/M20</f>
        <v/>
      </c>
      <c r="O20" s="12">
        <f>IF(OR(AND(F20="BUY",E20&gt;0),AND(F20="ACCUMULATE",E20&gt;0),AND(F20="HOLD",ABS(E20)&lt;0.05),AND(F20="REDUCE",E20&lt;0),AND(F20="SELL",E20&lt;0)),1,0)</f>
        <v/>
      </c>
      <c r="P20" s="12">
        <f>IF(ROW()&gt;=28,"",RANK.EQ('05_Composite_Calibration'!S20,'05_Composite_Calibration'!$S$5:$S$27,1)+(COUNTIF('05_Composite_Calibration'!$S$5:$S$27,'05_Composite_Calibration'!S20)-1)/2)</f>
        <v/>
      </c>
      <c r="Q20" s="12">
        <f>IF(ROW()&gt;=28,"",RANK.EQ(D20,$D$5:$D$27,1)+(COUNTIF($D$5:$D$27,D20)-1)/2)</f>
        <v/>
      </c>
      <c r="R20" s="30">
        <f>MAX($L$5:L20)</f>
        <v/>
      </c>
      <c r="S20" s="35">
        <f>(L20-R20)/R20</f>
        <v/>
      </c>
    </row>
    <row r="21">
      <c r="A21" s="28">
        <f>'02_Market_Inputs'!A21</f>
        <v/>
      </c>
      <c r="B21" s="37">
        <f>'02_Market_Inputs'!C21</f>
        <v/>
      </c>
      <c r="C21" s="30">
        <f>'02_Market_Inputs'!D21</f>
        <v/>
      </c>
      <c r="D21" s="35">
        <f>IF(OR(B21=0,C21=0),"",C21/B21-1)</f>
        <v/>
      </c>
      <c r="E21" s="35">
        <f>IF(OR(C21=0,C22=0),0,C22/C21-1)</f>
        <v/>
      </c>
      <c r="F21" s="12">
        <f>'05_Composite_Calibration'!K21</f>
        <v/>
      </c>
      <c r="G21" s="35">
        <f>IF(F21='01_Model_Config'!$C$16,'01_Model_Config'!$F$16,IF(F21='01_Model_Config'!$C$17,'01_Model_Config'!$F$17,IF(F21='01_Model_Config'!$C$18,'01_Model_Config'!$F$18,IF(F21='01_Model_Config'!$C$19,'01_Model_Config'!$F$19,'01_Model_Config'!$F$20))))</f>
        <v/>
      </c>
      <c r="H21" s="35">
        <f>1-G21</f>
        <v/>
      </c>
      <c r="I21" s="35">
        <f>(1+'02_Market_Inputs'!E21/100)^0.25-1</f>
        <v/>
      </c>
      <c r="J21" s="35">
        <f>G21*E21+H21*I21</f>
        <v/>
      </c>
      <c r="K21" s="30">
        <f>K20*(1+J21)</f>
        <v/>
      </c>
      <c r="L21" s="30">
        <f>L20*(1+E21)</f>
        <v/>
      </c>
      <c r="M21" s="30">
        <f>MAX($K$5:K21)</f>
        <v/>
      </c>
      <c r="N21" s="35">
        <f>(K21-M21)/M21</f>
        <v/>
      </c>
      <c r="O21" s="12">
        <f>IF(OR(AND(F21="BUY",E21&gt;0),AND(F21="ACCUMULATE",E21&gt;0),AND(F21="HOLD",ABS(E21)&lt;0.05),AND(F21="REDUCE",E21&lt;0),AND(F21="SELL",E21&lt;0)),1,0)</f>
        <v/>
      </c>
      <c r="P21" s="12">
        <f>IF(ROW()&gt;=28,"",RANK.EQ('05_Composite_Calibration'!S21,'05_Composite_Calibration'!$S$5:$S$27,1)+(COUNTIF('05_Composite_Calibration'!$S$5:$S$27,'05_Composite_Calibration'!S21)-1)/2)</f>
        <v/>
      </c>
      <c r="Q21" s="12">
        <f>IF(ROW()&gt;=28,"",RANK.EQ(D21,$D$5:$D$27,1)+(COUNTIF($D$5:$D$27,D21)-1)/2)</f>
        <v/>
      </c>
      <c r="R21" s="30">
        <f>MAX($L$5:L21)</f>
        <v/>
      </c>
      <c r="S21" s="35">
        <f>(L21-R21)/R21</f>
        <v/>
      </c>
    </row>
    <row r="22">
      <c r="A22" s="28">
        <f>'02_Market_Inputs'!A22</f>
        <v/>
      </c>
      <c r="B22" s="37">
        <f>'02_Market_Inputs'!C22</f>
        <v/>
      </c>
      <c r="C22" s="30">
        <f>'02_Market_Inputs'!D22</f>
        <v/>
      </c>
      <c r="D22" s="35">
        <f>IF(OR(B22=0,C22=0),"",C22/B22-1)</f>
        <v/>
      </c>
      <c r="E22" s="35">
        <f>IF(OR(C22=0,C23=0),0,C23/C22-1)</f>
        <v/>
      </c>
      <c r="F22" s="12">
        <f>'05_Composite_Calibration'!K22</f>
        <v/>
      </c>
      <c r="G22" s="35">
        <f>IF(F22='01_Model_Config'!$C$16,'01_Model_Config'!$F$16,IF(F22='01_Model_Config'!$C$17,'01_Model_Config'!$F$17,IF(F22='01_Model_Config'!$C$18,'01_Model_Config'!$F$18,IF(F22='01_Model_Config'!$C$19,'01_Model_Config'!$F$19,'01_Model_Config'!$F$20))))</f>
        <v/>
      </c>
      <c r="H22" s="35">
        <f>1-G22</f>
        <v/>
      </c>
      <c r="I22" s="35">
        <f>(1+'02_Market_Inputs'!E22/100)^0.25-1</f>
        <v/>
      </c>
      <c r="J22" s="35">
        <f>G22*E22+H22*I22</f>
        <v/>
      </c>
      <c r="K22" s="30">
        <f>K21*(1+J22)</f>
        <v/>
      </c>
      <c r="L22" s="30">
        <f>L21*(1+E22)</f>
        <v/>
      </c>
      <c r="M22" s="30">
        <f>MAX($K$5:K22)</f>
        <v/>
      </c>
      <c r="N22" s="35">
        <f>(K22-M22)/M22</f>
        <v/>
      </c>
      <c r="O22" s="12">
        <f>IF(OR(AND(F22="BUY",E22&gt;0),AND(F22="ACCUMULATE",E22&gt;0),AND(F22="HOLD",ABS(E22)&lt;0.05),AND(F22="REDUCE",E22&lt;0),AND(F22="SELL",E22&lt;0)),1,0)</f>
        <v/>
      </c>
      <c r="P22" s="12">
        <f>IF(ROW()&gt;=28,"",RANK.EQ('05_Composite_Calibration'!S22,'05_Composite_Calibration'!$S$5:$S$27,1)+(COUNTIF('05_Composite_Calibration'!$S$5:$S$27,'05_Composite_Calibration'!S22)-1)/2)</f>
        <v/>
      </c>
      <c r="Q22" s="12">
        <f>IF(ROW()&gt;=28,"",RANK.EQ(D22,$D$5:$D$27,1)+(COUNTIF($D$5:$D$27,D22)-1)/2)</f>
        <v/>
      </c>
      <c r="R22" s="30">
        <f>MAX($L$5:L22)</f>
        <v/>
      </c>
      <c r="S22" s="35">
        <f>(L22-R22)/R22</f>
        <v/>
      </c>
    </row>
    <row r="23">
      <c r="A23" s="28">
        <f>'02_Market_Inputs'!A23</f>
        <v/>
      </c>
      <c r="B23" s="37">
        <f>'02_Market_Inputs'!C23</f>
        <v/>
      </c>
      <c r="C23" s="30">
        <f>'02_Market_Inputs'!D23</f>
        <v/>
      </c>
      <c r="D23" s="35">
        <f>IF(OR(B23=0,C23=0),"",C23/B23-1)</f>
        <v/>
      </c>
      <c r="E23" s="35">
        <f>IF(OR(C23=0,C24=0),0,C24/C23-1)</f>
        <v/>
      </c>
      <c r="F23" s="12">
        <f>'05_Composite_Calibration'!K23</f>
        <v/>
      </c>
      <c r="G23" s="35">
        <f>IF(F23='01_Model_Config'!$C$16,'01_Model_Config'!$F$16,IF(F23='01_Model_Config'!$C$17,'01_Model_Config'!$F$17,IF(F23='01_Model_Config'!$C$18,'01_Model_Config'!$F$18,IF(F23='01_Model_Config'!$C$19,'01_Model_Config'!$F$19,'01_Model_Config'!$F$20))))</f>
        <v/>
      </c>
      <c r="H23" s="35">
        <f>1-G23</f>
        <v/>
      </c>
      <c r="I23" s="35">
        <f>(1+'02_Market_Inputs'!E23/100)^0.25-1</f>
        <v/>
      </c>
      <c r="J23" s="35">
        <f>G23*E23+H23*I23</f>
        <v/>
      </c>
      <c r="K23" s="30">
        <f>K22*(1+J23)</f>
        <v/>
      </c>
      <c r="L23" s="30">
        <f>L22*(1+E23)</f>
        <v/>
      </c>
      <c r="M23" s="30">
        <f>MAX($K$5:K23)</f>
        <v/>
      </c>
      <c r="N23" s="35">
        <f>(K23-M23)/M23</f>
        <v/>
      </c>
      <c r="O23" s="12">
        <f>IF(OR(AND(F23="BUY",E23&gt;0),AND(F23="ACCUMULATE",E23&gt;0),AND(F23="HOLD",ABS(E23)&lt;0.05),AND(F23="REDUCE",E23&lt;0),AND(F23="SELL",E23&lt;0)),1,0)</f>
        <v/>
      </c>
      <c r="P23" s="12">
        <f>IF(ROW()&gt;=28,"",RANK.EQ('05_Composite_Calibration'!S23,'05_Composite_Calibration'!$S$5:$S$27,1)+(COUNTIF('05_Composite_Calibration'!$S$5:$S$27,'05_Composite_Calibration'!S23)-1)/2)</f>
        <v/>
      </c>
      <c r="Q23" s="12">
        <f>IF(ROW()&gt;=28,"",RANK.EQ(D23,$D$5:$D$27,1)+(COUNTIF($D$5:$D$27,D23)-1)/2)</f>
        <v/>
      </c>
      <c r="R23" s="30">
        <f>MAX($L$5:L23)</f>
        <v/>
      </c>
      <c r="S23" s="35">
        <f>(L23-R23)/R23</f>
        <v/>
      </c>
    </row>
    <row r="24">
      <c r="A24" s="28">
        <f>'02_Market_Inputs'!A24</f>
        <v/>
      </c>
      <c r="B24" s="37">
        <f>'02_Market_Inputs'!C24</f>
        <v/>
      </c>
      <c r="C24" s="30">
        <f>'02_Market_Inputs'!D24</f>
        <v/>
      </c>
      <c r="D24" s="35">
        <f>IF(OR(B24=0,C24=0),"",C24/B24-1)</f>
        <v/>
      </c>
      <c r="E24" s="35">
        <f>IF(OR(C24=0,C25=0),0,C25/C24-1)</f>
        <v/>
      </c>
      <c r="F24" s="12">
        <f>'05_Composite_Calibration'!K24</f>
        <v/>
      </c>
      <c r="G24" s="35">
        <f>IF(F24='01_Model_Config'!$C$16,'01_Model_Config'!$F$16,IF(F24='01_Model_Config'!$C$17,'01_Model_Config'!$F$17,IF(F24='01_Model_Config'!$C$18,'01_Model_Config'!$F$18,IF(F24='01_Model_Config'!$C$19,'01_Model_Config'!$F$19,'01_Model_Config'!$F$20))))</f>
        <v/>
      </c>
      <c r="H24" s="35">
        <f>1-G24</f>
        <v/>
      </c>
      <c r="I24" s="35">
        <f>(1+'02_Market_Inputs'!E24/100)^0.25-1</f>
        <v/>
      </c>
      <c r="J24" s="35">
        <f>G24*E24+H24*I24</f>
        <v/>
      </c>
      <c r="K24" s="30">
        <f>K23*(1+J24)</f>
        <v/>
      </c>
      <c r="L24" s="30">
        <f>L23*(1+E24)</f>
        <v/>
      </c>
      <c r="M24" s="30">
        <f>MAX($K$5:K24)</f>
        <v/>
      </c>
      <c r="N24" s="35">
        <f>(K24-M24)/M24</f>
        <v/>
      </c>
      <c r="O24" s="12">
        <f>IF(OR(AND(F24="BUY",E24&gt;0),AND(F24="ACCUMULATE",E24&gt;0),AND(F24="HOLD",ABS(E24)&lt;0.05),AND(F24="REDUCE",E24&lt;0),AND(F24="SELL",E24&lt;0)),1,0)</f>
        <v/>
      </c>
      <c r="P24" s="12">
        <f>IF(ROW()&gt;=28,"",RANK.EQ('05_Composite_Calibration'!S24,'05_Composite_Calibration'!$S$5:$S$27,1)+(COUNTIF('05_Composite_Calibration'!$S$5:$S$27,'05_Composite_Calibration'!S24)-1)/2)</f>
        <v/>
      </c>
      <c r="Q24" s="12">
        <f>IF(ROW()&gt;=28,"",RANK.EQ(D24,$D$5:$D$27,1)+(COUNTIF($D$5:$D$27,D24)-1)/2)</f>
        <v/>
      </c>
      <c r="R24" s="30">
        <f>MAX($L$5:L24)</f>
        <v/>
      </c>
      <c r="S24" s="35">
        <f>(L24-R24)/R24</f>
        <v/>
      </c>
    </row>
    <row r="25">
      <c r="A25" s="28">
        <f>'02_Market_Inputs'!A25</f>
        <v/>
      </c>
      <c r="B25" s="37">
        <f>'02_Market_Inputs'!C25</f>
        <v/>
      </c>
      <c r="C25" s="30">
        <f>'02_Market_Inputs'!D25</f>
        <v/>
      </c>
      <c r="D25" s="35">
        <f>IF(OR(B25=0,C25=0),"",C25/B25-1)</f>
        <v/>
      </c>
      <c r="E25" s="35">
        <f>IF(OR(C25=0,C26=0),0,C26/C25-1)</f>
        <v/>
      </c>
      <c r="F25" s="12">
        <f>'05_Composite_Calibration'!K25</f>
        <v/>
      </c>
      <c r="G25" s="35">
        <f>IF(F25='01_Model_Config'!$C$16,'01_Model_Config'!$F$16,IF(F25='01_Model_Config'!$C$17,'01_Model_Config'!$F$17,IF(F25='01_Model_Config'!$C$18,'01_Model_Config'!$F$18,IF(F25='01_Model_Config'!$C$19,'01_Model_Config'!$F$19,'01_Model_Config'!$F$20))))</f>
        <v/>
      </c>
      <c r="H25" s="35">
        <f>1-G25</f>
        <v/>
      </c>
      <c r="I25" s="35">
        <f>(1+'02_Market_Inputs'!E25/100)^0.25-1</f>
        <v/>
      </c>
      <c r="J25" s="35">
        <f>G25*E25+H25*I25</f>
        <v/>
      </c>
      <c r="K25" s="30">
        <f>K24*(1+J25)</f>
        <v/>
      </c>
      <c r="L25" s="30">
        <f>L24*(1+E25)</f>
        <v/>
      </c>
      <c r="M25" s="30">
        <f>MAX($K$5:K25)</f>
        <v/>
      </c>
      <c r="N25" s="35">
        <f>(K25-M25)/M25</f>
        <v/>
      </c>
      <c r="O25" s="12">
        <f>IF(OR(AND(F25="BUY",E25&gt;0),AND(F25="ACCUMULATE",E25&gt;0),AND(F25="HOLD",ABS(E25)&lt;0.05),AND(F25="REDUCE",E25&lt;0),AND(F25="SELL",E25&lt;0)),1,0)</f>
        <v/>
      </c>
      <c r="P25" s="12">
        <f>IF(ROW()&gt;=28,"",RANK.EQ('05_Composite_Calibration'!S25,'05_Composite_Calibration'!$S$5:$S$27,1)+(COUNTIF('05_Composite_Calibration'!$S$5:$S$27,'05_Composite_Calibration'!S25)-1)/2)</f>
        <v/>
      </c>
      <c r="Q25" s="12">
        <f>IF(ROW()&gt;=28,"",RANK.EQ(D25,$D$5:$D$27,1)+(COUNTIF($D$5:$D$27,D25)-1)/2)</f>
        <v/>
      </c>
      <c r="R25" s="30">
        <f>MAX($L$5:L25)</f>
        <v/>
      </c>
      <c r="S25" s="35">
        <f>(L25-R25)/R25</f>
        <v/>
      </c>
    </row>
    <row r="26">
      <c r="A26" s="28">
        <f>'02_Market_Inputs'!A26</f>
        <v/>
      </c>
      <c r="B26" s="37">
        <f>'02_Market_Inputs'!C26</f>
        <v/>
      </c>
      <c r="C26" s="30">
        <f>'02_Market_Inputs'!D26</f>
        <v/>
      </c>
      <c r="D26" s="35">
        <f>IF(OR(B26=0,C26=0),"",C26/B26-1)</f>
        <v/>
      </c>
      <c r="E26" s="35">
        <f>IF(OR(C26=0,C27=0),0,C27/C26-1)</f>
        <v/>
      </c>
      <c r="F26" s="12">
        <f>'05_Composite_Calibration'!K26</f>
        <v/>
      </c>
      <c r="G26" s="35">
        <f>IF(F26='01_Model_Config'!$C$16,'01_Model_Config'!$F$16,IF(F26='01_Model_Config'!$C$17,'01_Model_Config'!$F$17,IF(F26='01_Model_Config'!$C$18,'01_Model_Config'!$F$18,IF(F26='01_Model_Config'!$C$19,'01_Model_Config'!$F$19,'01_Model_Config'!$F$20))))</f>
        <v/>
      </c>
      <c r="H26" s="35">
        <f>1-G26</f>
        <v/>
      </c>
      <c r="I26" s="35">
        <f>(1+'02_Market_Inputs'!E26/100)^0.25-1</f>
        <v/>
      </c>
      <c r="J26" s="35">
        <f>G26*E26+H26*I26</f>
        <v/>
      </c>
      <c r="K26" s="30">
        <f>K25*(1+J26)</f>
        <v/>
      </c>
      <c r="L26" s="30">
        <f>L25*(1+E26)</f>
        <v/>
      </c>
      <c r="M26" s="30">
        <f>MAX($K$5:K26)</f>
        <v/>
      </c>
      <c r="N26" s="35">
        <f>(K26-M26)/M26</f>
        <v/>
      </c>
      <c r="O26" s="12">
        <f>IF(OR(AND(F26="BUY",E26&gt;0),AND(F26="ACCUMULATE",E26&gt;0),AND(F26="HOLD",ABS(E26)&lt;0.05),AND(F26="REDUCE",E26&lt;0),AND(F26="SELL",E26&lt;0)),1,0)</f>
        <v/>
      </c>
      <c r="P26" s="12">
        <f>IF(ROW()&gt;=28,"",RANK.EQ('05_Composite_Calibration'!S26,'05_Composite_Calibration'!$S$5:$S$27,1)+(COUNTIF('05_Composite_Calibration'!$S$5:$S$27,'05_Composite_Calibration'!S26)-1)/2)</f>
        <v/>
      </c>
      <c r="Q26" s="12">
        <f>IF(ROW()&gt;=28,"",RANK.EQ(D26,$D$5:$D$27,1)+(COUNTIF($D$5:$D$27,D26)-1)/2)</f>
        <v/>
      </c>
      <c r="R26" s="30">
        <f>MAX($L$5:L26)</f>
        <v/>
      </c>
      <c r="S26" s="35">
        <f>(L26-R26)/R26</f>
        <v/>
      </c>
    </row>
    <row r="27">
      <c r="A27" s="28">
        <f>'02_Market_Inputs'!A27</f>
        <v/>
      </c>
      <c r="B27" s="37">
        <f>'02_Market_Inputs'!C27</f>
        <v/>
      </c>
      <c r="C27" s="30">
        <f>'02_Market_Inputs'!D27</f>
        <v/>
      </c>
      <c r="D27" s="35">
        <f>IF(OR(B27=0,C27=0),"",C27/B27-1)</f>
        <v/>
      </c>
      <c r="E27" s="35">
        <f>IF(OR(C27=0,C28=0),0,C28/C27-1)</f>
        <v/>
      </c>
      <c r="F27" s="12">
        <f>'05_Composite_Calibration'!K27</f>
        <v/>
      </c>
      <c r="G27" s="35">
        <f>IF(F27='01_Model_Config'!$C$16,'01_Model_Config'!$F$16,IF(F27='01_Model_Config'!$C$17,'01_Model_Config'!$F$17,IF(F27='01_Model_Config'!$C$18,'01_Model_Config'!$F$18,IF(F27='01_Model_Config'!$C$19,'01_Model_Config'!$F$19,'01_Model_Config'!$F$20))))</f>
        <v/>
      </c>
      <c r="H27" s="35">
        <f>1-G27</f>
        <v/>
      </c>
      <c r="I27" s="35">
        <f>(1+'02_Market_Inputs'!E27/100)^0.25-1</f>
        <v/>
      </c>
      <c r="J27" s="35">
        <f>G27*E27+H27*I27</f>
        <v/>
      </c>
      <c r="K27" s="30">
        <f>K26*(1+J27)</f>
        <v/>
      </c>
      <c r="L27" s="30">
        <f>L26*(1+E27)</f>
        <v/>
      </c>
      <c r="M27" s="30">
        <f>MAX($K$5:K27)</f>
        <v/>
      </c>
      <c r="N27" s="35">
        <f>(K27-M27)/M27</f>
        <v/>
      </c>
      <c r="O27" s="12">
        <f>IF(OR(AND(F27="BUY",E27&gt;0),AND(F27="ACCUMULATE",E27&gt;0),AND(F27="HOLD",ABS(E27)&lt;0.05),AND(F27="REDUCE",E27&lt;0),AND(F27="SELL",E27&lt;0)),1,0)</f>
        <v/>
      </c>
      <c r="P27" s="12">
        <f>IF(ROW()&gt;=28,"",RANK.EQ('05_Composite_Calibration'!S27,'05_Composite_Calibration'!$S$5:$S$27,1)+(COUNTIF('05_Composite_Calibration'!$S$5:$S$27,'05_Composite_Calibration'!S27)-1)/2)</f>
        <v/>
      </c>
      <c r="Q27" s="12">
        <f>IF(ROW()&gt;=28,"",RANK.EQ(D27,$D$5:$D$27,1)+(COUNTIF($D$5:$D$27,D27)-1)/2)</f>
        <v/>
      </c>
      <c r="R27" s="30">
        <f>MAX($L$5:L27)</f>
        <v/>
      </c>
      <c r="S27" s="35">
        <f>(L27-R27)/R27</f>
        <v/>
      </c>
    </row>
    <row r="28">
      <c r="A28" s="28">
        <f>'02_Market_Inputs'!A28</f>
        <v/>
      </c>
      <c r="B28" s="37">
        <f>'02_Market_Inputs'!C28</f>
        <v/>
      </c>
      <c r="C28" s="30">
        <f>'02_Market_Inputs'!D28</f>
        <v/>
      </c>
      <c r="D28" s="35">
        <f>IF(OR(B28=0,C28=0),"",C28/B28-1)</f>
        <v/>
      </c>
      <c r="E28" s="35">
        <f>0</f>
        <v/>
      </c>
      <c r="F28" s="12">
        <f>'05_Composite_Calibration'!K28</f>
        <v/>
      </c>
      <c r="G28" s="35">
        <f>IF(F28='01_Model_Config'!$C$16,'01_Model_Config'!$F$16,IF(F28='01_Model_Config'!$C$17,'01_Model_Config'!$F$17,IF(F28='01_Model_Config'!$C$18,'01_Model_Config'!$F$18,IF(F28='01_Model_Config'!$C$19,'01_Model_Config'!$F$19,'01_Model_Config'!$F$20))))</f>
        <v/>
      </c>
      <c r="H28" s="35">
        <f>1-G28</f>
        <v/>
      </c>
      <c r="I28" s="35">
        <f>(1+'02_Market_Inputs'!E28/100)^0.25-1</f>
        <v/>
      </c>
      <c r="J28" s="35">
        <f>G28*E28+H28*I28</f>
        <v/>
      </c>
      <c r="K28" s="30">
        <f>K27*(1+J28)</f>
        <v/>
      </c>
      <c r="L28" s="30">
        <f>L27*(1+E28)</f>
        <v/>
      </c>
      <c r="M28" s="30">
        <f>MAX($K$5:K28)</f>
        <v/>
      </c>
      <c r="N28" s="35">
        <f>(K28-M28)/M28</f>
        <v/>
      </c>
      <c r="O28" s="12">
        <f>IF(OR(AND(F28="BUY",E28&gt;0),AND(F28="ACCUMULATE",E28&gt;0),AND(F28="HOLD",ABS(E28)&lt;0.05),AND(F28="REDUCE",E28&lt;0),AND(F28="SELL",E28&lt;0)),1,0)</f>
        <v/>
      </c>
      <c r="P28" s="12">
        <f>IF(ROW()&gt;=28,"",RANK.EQ('05_Composite_Calibration'!S28,'05_Composite_Calibration'!$S$5:$S$27,1)+(COUNTIF('05_Composite_Calibration'!$S$5:$S$27,'05_Composite_Calibration'!S28)-1)/2)</f>
        <v/>
      </c>
      <c r="Q28" s="12">
        <f>IF(ROW()&gt;=28,"",RANK.EQ(D28,$D$5:$D$27,1)+(COUNTIF($D$5:$D$27,D28)-1)/2)</f>
        <v/>
      </c>
      <c r="R28" s="30">
        <f>MAX($L$5:L28)</f>
        <v/>
      </c>
      <c r="S28" s="35">
        <f>(L28-R28)/R28</f>
        <v/>
      </c>
    </row>
    <row r="29"/>
    <row r="30">
      <c r="A30" s="6" t="inlineStr">
        <is>
          <t>FORMULA PERFORMANCE SUMMARY</t>
        </is>
      </c>
    </row>
    <row r="31" ht="32" customHeight="1">
      <c r="A31" s="7" t="inlineStr">
        <is>
          <t>Metric</t>
        </is>
      </c>
      <c r="B31" s="7" t="inlineStr">
        <is>
          <t>Strategy / Signal</t>
        </is>
      </c>
      <c r="C31" s="7" t="inlineStr">
        <is>
          <t>Benchmark</t>
        </is>
      </c>
      <c r="D31" s="7" t="inlineStr">
        <is>
          <t>Spread</t>
        </is>
      </c>
      <c r="E31" s="7" t="inlineStr">
        <is>
          <t>Formula Definition</t>
        </is>
      </c>
    </row>
    <row r="32">
      <c r="A32" s="13" t="inlineStr">
        <is>
          <t>Cumulative Total Return</t>
        </is>
      </c>
      <c r="B32" s="14">
        <f>(K28-'01_Model_Config'!$B$35)/'01_Model_Config'!$B$35</f>
        <v/>
      </c>
      <c r="C32" s="35">
        <f>(L28-'01_Model_Config'!$B$35)/'01_Model_Config'!$B$35</f>
        <v/>
      </c>
      <c r="D32" s="35">
        <f>B32-C32</f>
        <v/>
      </c>
      <c r="E32" s="15" t="inlineStr">
        <is>
          <t>Ending NAV / Initial NAV − 1</t>
        </is>
      </c>
    </row>
    <row r="33">
      <c r="A33" s="8" t="inlineStr">
        <is>
          <t>Compound Annual Growth Rate</t>
        </is>
      </c>
      <c r="B33" s="14">
        <f>(K28/'01_Model_Config'!$B$35)^('01_Model_Config'!$B$34/23)-1</f>
        <v/>
      </c>
      <c r="C33" s="35">
        <f>(L28/'01_Model_Config'!$B$35)^('01_Model_Config'!$B$34/23)-1</f>
        <v/>
      </c>
      <c r="D33" s="35">
        <f>B33-C33</f>
        <v/>
      </c>
      <c r="E33" s="16" t="inlineStr">
        <is>
          <t>(Ending NAV / Initial NAV)^(4/23) − 1</t>
        </is>
      </c>
    </row>
    <row r="34">
      <c r="A34" s="13" t="inlineStr">
        <is>
          <t>Maximum Drawdown</t>
        </is>
      </c>
      <c r="B34" s="14">
        <f>MIN(N5:N28)</f>
        <v/>
      </c>
      <c r="C34" s="35">
        <f>MIN(S5:S28)</f>
        <v/>
      </c>
      <c r="D34" s="35">
        <f>B34-C34</f>
        <v/>
      </c>
      <c r="E34" s="15" t="inlineStr">
        <is>
          <t>Minimum running-peak drawdown</t>
        </is>
      </c>
    </row>
    <row r="35">
      <c r="A35" s="8" t="inlineStr">
        <is>
          <t>Annualized Volatility</t>
        </is>
      </c>
      <c r="B35" s="14">
        <f>STDEV.S(J5:J27)*SQRT('01_Model_Config'!$B$34)</f>
        <v/>
      </c>
      <c r="C35" s="35">
        <f>STDEV.S(E5:E27)*SQRT('01_Model_Config'!$B$34)</f>
        <v/>
      </c>
      <c r="D35" s="35">
        <f>B35-C35</f>
        <v/>
      </c>
      <c r="E35" s="16" t="inlineStr">
        <is>
          <t>Sample σ quarterly × √4</t>
        </is>
      </c>
    </row>
    <row r="36">
      <c r="A36" s="13" t="inlineStr">
        <is>
          <t>Sharpe Ratio</t>
        </is>
      </c>
      <c r="B36" s="17">
        <f>(B33-'01_Model_Config'!$B$36)/B35</f>
        <v/>
      </c>
      <c r="C36" s="31">
        <f>(C33-'01_Model_Config'!$B$36)/C35</f>
        <v/>
      </c>
      <c r="D36" s="31">
        <f>B36-C36</f>
        <v/>
      </c>
      <c r="E36" s="15" t="inlineStr">
        <is>
          <t>(CAGR − Rf) / annualized volatility</t>
        </is>
      </c>
    </row>
    <row r="37">
      <c r="A37" s="8" t="inlineStr">
        <is>
          <t>Spearman Rank IC</t>
        </is>
      </c>
      <c r="B37" s="17">
        <f>CORREL(P5:P27,Q5:Q27)</f>
        <v/>
      </c>
      <c r="C37" s="31">
        <f>CORREL('05_Composite_Calibration'!D5:D27,D5:D27)</f>
        <v/>
      </c>
      <c r="D37" s="31">
        <f>B37-C37</f>
        <v/>
      </c>
      <c r="E37" s="16" t="inlineStr">
        <is>
          <t>Pearson correlation of average ranks = Spearman ρ</t>
        </is>
      </c>
    </row>
    <row r="38">
      <c r="A38" s="13" t="inlineStr">
        <is>
          <t>Directional Hit Rate</t>
        </is>
      </c>
      <c r="B38" s="14">
        <f>AVERAGE(O5:O27)</f>
        <v/>
      </c>
      <c r="C38" s="35">
        <f>"N/A"</f>
        <v/>
      </c>
      <c r="D38" s="35">
        <f>"N/A"</f>
        <v/>
      </c>
      <c r="E38" s="15" t="inlineStr">
        <is>
          <t>Mean of formula hit flags</t>
        </is>
      </c>
    </row>
  </sheetData>
  <pageMargins left="0.75" right="0.75" top="1" bottom="1" header="0.5" footer="0.5"/>
  <pageSetup fitToHeight="0" fitToWidth="1"/>
</worksheet>
</file>

<file path=xl/worksheets/sheet12.xml><?xml version="1.0" encoding="utf-8"?>
<worksheet xmlns="http://schemas.openxmlformats.org/spreadsheetml/2006/main">
  <sheetPr>
    <tabColor rgb="00334155"/>
    <outlinePr summaryBelow="1" summaryRight="1"/>
    <pageSetUpPr fitToPage="1"/>
  </sheetPr>
  <dimension ref="A1:E12"/>
  <sheetViews>
    <sheetView showGridLines="0" workbookViewId="0">
      <pane ySplit="4" topLeftCell="A5" activePane="bottomLeft" state="frozen"/>
      <selection pane="bottomLeft" activeCell="A1" sqref="A1"/>
    </sheetView>
  </sheetViews>
  <sheetFormatPr baseColWidth="8" defaultRowHeight="15"/>
  <cols>
    <col width="42" customWidth="1" min="1" max="1"/>
    <col width="33" customWidth="1" min="2" max="2"/>
    <col width="42" customWidth="1" min="3" max="3"/>
    <col width="42" customWidth="1" min="4" max="4"/>
    <col width="42" customWidth="1" min="5" max="5"/>
  </cols>
  <sheetData>
    <row r="1">
      <c r="A1" s="1" t="inlineStr">
        <is>
          <t>DATA PROVENANCE, BACKFILL &amp; RECONCILIATION REGISTER</t>
        </is>
      </c>
    </row>
    <row r="2">
      <c r="A2" s="2" t="inlineStr">
        <is>
          <t>Institutional audit trail for each point-in-time data stream and formula-control convention</t>
        </is>
      </c>
    </row>
    <row r="3"/>
    <row r="4" ht="32" customHeight="1">
      <c r="A4" s="18" t="inlineStr">
        <is>
          <t>Data Stream</t>
        </is>
      </c>
      <c r="B4" s="18" t="inlineStr">
        <is>
          <t>Coverage</t>
        </is>
      </c>
      <c r="C4" s="18" t="inlineStr">
        <is>
          <t>Point-in-Time Rule</t>
        </is>
      </c>
      <c r="D4" s="18" t="inlineStr">
        <is>
          <t>Methodology</t>
        </is>
      </c>
      <c r="E4" s="18" t="inlineStr">
        <is>
          <t>Traceable Source</t>
        </is>
      </c>
    </row>
    <row r="5">
      <c r="A5" s="8" t="inlineStr">
        <is>
          <t>VN-Index decision close</t>
        </is>
      </c>
      <c r="B5" s="8" t="inlineStr">
        <is>
          <t>24/24</t>
        </is>
      </c>
      <c r="C5" s="16" t="inlineStr">
        <is>
          <t>Quarter t uses last close of t−1</t>
        </is>
      </c>
      <c r="D5" s="16" t="inlineStr">
        <is>
          <t>2021-Q1 seed = 2020-12-31 close 1,103.87; subsequent values lag committed quarter-end closes once</t>
        </is>
      </c>
      <c r="E5" s="16" t="inlineStr">
        <is>
          <t>data/scores/vnindex_quarterly_close.json + HOSE 2020-12-31 seed</t>
        </is>
      </c>
    </row>
    <row r="6">
      <c r="A6" s="13" t="inlineStr">
        <is>
          <t>Vietnam sovereign curve</t>
        </is>
      </c>
      <c r="B6" s="13" t="inlineStr">
        <is>
          <t>24/24</t>
        </is>
      </c>
      <c r="C6" s="15" t="inlineStr">
        <is>
          <t>Backward as-of merge</t>
        </is>
      </c>
      <c r="D6" s="15" t="inlineStr">
        <is>
          <t>Nelson-Siegel fitted 1Y/10Y curve and spread</t>
        </is>
      </c>
      <c r="E6" s="15" t="inlineStr">
        <is>
          <t>VN_Bond_Yield_pipeline / fitted_curve_ns_full.json</t>
        </is>
      </c>
    </row>
    <row r="7">
      <c r="A7" s="8" t="inlineStr">
        <is>
          <t>Broad money M2</t>
        </is>
      </c>
      <c r="B7" s="8" t="inlineStr">
        <is>
          <t>24/24</t>
        </is>
      </c>
      <c r="C7" s="16" t="inlineStr">
        <is>
          <t>Latest published year as of decision date</t>
        </is>
      </c>
      <c r="D7" s="16" t="inlineStr">
        <is>
          <t>ADB KIDB FM2_PTX_PS.VIE plus GSO 2025 update</t>
        </is>
      </c>
      <c r="E7" s="16" t="inlineStr">
        <is>
          <t>data/external/m2_credit_adb_gso.csv</t>
        </is>
      </c>
    </row>
    <row r="8">
      <c r="A8" s="13" t="inlineStr">
        <is>
          <t>Foreign and ETF flows</t>
        </is>
      </c>
      <c r="B8" s="13" t="inlineStr">
        <is>
          <t>24/24</t>
        </is>
      </c>
      <c r="C8" s="15" t="inlineStr">
        <is>
          <t>Quarter-to-date at t−1</t>
        </is>
      </c>
      <c r="D8" s="15" t="inlineStr">
        <is>
          <t>VNDirect HOSE flow history with published market-cap splice</t>
        </is>
      </c>
      <c r="E8" s="15" t="inlineStr">
        <is>
          <t>data/scores/vnindex_quarterly_flows.json</t>
        </is>
      </c>
    </row>
    <row r="9">
      <c r="A9" s="8" t="inlineStr">
        <is>
          <t>ADTV liquidity</t>
        </is>
      </c>
      <c r="B9" s="8" t="inlineStr">
        <is>
          <t>24/24</t>
        </is>
      </c>
      <c r="C9" s="16" t="inlineStr">
        <is>
          <t>ADTV(t−1)/ADTV(t−2)−1</t>
        </is>
      </c>
      <c r="D9" s="16" t="inlineStr">
        <is>
          <t>No forward volume observations</t>
        </is>
      </c>
      <c r="E9" s="16" t="inlineStr">
        <is>
          <t>data/scores/vnindex_quarterly_adtv.json</t>
        </is>
      </c>
    </row>
    <row r="10">
      <c r="A10" s="13" t="inlineStr">
        <is>
          <t>Valuation Z-scores</t>
        </is>
      </c>
      <c r="B10" s="13" t="inlineStr">
        <is>
          <t>20/24; neutral fallback in 2021</t>
        </is>
      </c>
      <c r="C10" s="15" t="inlineStr">
        <is>
          <t>252-session history available at t−1</t>
        </is>
      </c>
      <c r="D10" s="15" t="inlineStr">
        <is>
          <t>P/E, P/B and EYG rolling Z-scores; no interpolation</t>
        </is>
      </c>
      <c r="E10" s="15" t="inlineStr">
        <is>
          <t>data/scores/vnindex_quarterly_market_data.json</t>
        </is>
      </c>
    </row>
    <row r="11">
      <c r="A11" s="8" t="inlineStr">
        <is>
          <t>Econometric / ML outputs</t>
        </is>
      </c>
      <c r="B11" s="8" t="inlineStr">
        <is>
          <t>24/24</t>
        </is>
      </c>
      <c r="C11" s="16" t="inlineStr">
        <is>
          <t>Training sample ends at as-of date</t>
        </is>
      </c>
      <c r="D11" s="16" t="inlineStr">
        <is>
          <t>MLR HAC, VAR/Granger and 8-fold expanding WFV</t>
        </is>
      </c>
      <c r="E11" s="16" t="inlineStr">
        <is>
          <t>output/exports/score_*.json</t>
        </is>
      </c>
    </row>
    <row r="12">
      <c r="A12" s="13" t="inlineStr">
        <is>
          <t>Formula reconciliation</t>
        </is>
      </c>
      <c r="B12" s="13" t="inlineStr">
        <is>
          <t>24/24</t>
        </is>
      </c>
      <c r="C12" s="15" t="inlineStr">
        <is>
          <t>Prior quarters only</t>
        </is>
      </c>
      <c r="D12" s="15" t="inlineStr">
        <is>
          <t>Rounded pillars and weighted legs reproduce production scorer; v2 calibration uses STDEV.S with σ-floor, z winsorisation and distance guardrail</t>
        </is>
      </c>
      <c r="E12" s="15" t="inlineStr">
        <is>
          <t>verify_workbook_accuracy.py</t>
        </is>
      </c>
    </row>
  </sheetData>
  <pageMargins left="0.75" right="0.75" top="1" bottom="1" header="0.5" footer="0.5"/>
  <pageSetup fitToHeight="0" fitToWidth="1"/>
</worksheet>
</file>

<file path=xl/worksheets/sheet13.xml><?xml version="1.0" encoding="utf-8"?>
<worksheet xmlns="http://schemas.openxmlformats.org/spreadsheetml/2006/main">
  <sheetPr>
    <tabColor rgb="00047857"/>
    <outlinePr summaryBelow="1" summaryRight="1"/>
    <pageSetUpPr fitToPage="1"/>
  </sheetPr>
  <dimension ref="A1:F36"/>
  <sheetViews>
    <sheetView showGridLines="0" workbookViewId="0">
      <pane ySplit="4" topLeftCell="A5" activePane="bottomLeft" state="frozen"/>
      <selection pane="bottomLeft" activeCell="A1" sqref="A1"/>
    </sheetView>
  </sheetViews>
  <sheetFormatPr baseColWidth="8" defaultRowHeight="15"/>
  <cols>
    <col width="42" customWidth="1" min="1" max="1"/>
    <col width="11" customWidth="1" min="2" max="2"/>
    <col width="11" customWidth="1" min="3" max="3"/>
    <col width="11" customWidth="1" min="4" max="4"/>
    <col width="11" customWidth="1" min="5" max="5"/>
    <col width="11" customWidth="1" min="6" max="6"/>
  </cols>
  <sheetData>
    <row r="1">
      <c r="A1" s="1" t="inlineStr">
        <is>
          <t>VN-INDEX QUANTITATIVE MODEL — METHODOLOGY &amp; INTERPRETATION</t>
        </is>
      </c>
    </row>
    <row r="2">
      <c r="A2" s="2" t="inlineStr">
        <is>
          <t>English guide | scope, point-in-time discipline, architecture, calibration, validation and audit</t>
        </is>
      </c>
    </row>
    <row r="3"/>
    <row r="4">
      <c r="A4" s="6" t="inlineStr">
        <is>
          <t>LIVE SNAPSHOT — FORMULA-LINKED TO THE EXECUTIVE DASHBOARD</t>
        </is>
      </c>
    </row>
    <row r="5">
      <c r="A5" s="38" t="inlineStr">
        <is>
          <t>Latest quarter</t>
        </is>
      </c>
      <c r="B5" s="39">
        <f>'00_Executive_Dashboard'!A6</f>
        <v/>
      </c>
    </row>
    <row r="6">
      <c r="A6" s="38" t="inlineStr">
        <is>
          <t>Calibrated action</t>
        </is>
      </c>
      <c r="B6" s="39">
        <f>'00_Executive_Dashboard'!B6</f>
        <v/>
      </c>
    </row>
    <row r="7">
      <c r="A7" s="38" t="inlineStr">
        <is>
          <t>Calibrated score</t>
        </is>
      </c>
      <c r="B7" s="40">
        <f>'00_Executive_Dashboard'!C6</f>
        <v/>
      </c>
    </row>
    <row r="8">
      <c r="A8" s="38" t="inlineStr">
        <is>
          <t>Equity allocation</t>
        </is>
      </c>
      <c r="B8" s="39">
        <f>'00_Executive_Dashboard'!D6</f>
        <v/>
      </c>
    </row>
    <row r="9">
      <c r="A9" s="38" t="inlineStr">
        <is>
          <t>Raw composite</t>
        </is>
      </c>
      <c r="B9" s="40">
        <f>'00_Executive_Dashboard'!E6</f>
        <v/>
      </c>
    </row>
    <row r="10"/>
    <row r="11"/>
    <row r="12">
      <c r="A12" s="41" t="inlineStr">
        <is>
          <t>1. What the model produces</t>
        </is>
      </c>
    </row>
    <row r="13" ht="42" customHeight="1">
      <c r="A13" s="42" t="inlineStr">
        <is>
          <t>The output is a quarterly allocation-regime score and an associated portfolio action. It is NOT a forecast of returns and NOT a probability of a market crash. It is a disciplined decision aid, not investment advice.</t>
        </is>
      </c>
    </row>
    <row r="14"/>
    <row r="15">
      <c r="A15" s="41" t="inlineStr">
        <is>
          <t>2. Data and point-in-time discipline</t>
        </is>
      </c>
    </row>
    <row r="16" ht="42" customHeight="1">
      <c r="A16" s="42" t="inlineStr">
        <is>
          <t>Inputs use VN-Index OHLCV, HOSE market capitalization, VNDirect api-finfo v4 foreign flows for STOCK_HOSE and ETF_HOSE, ADTV, a Nelson-Siegel fitted Vietnam government-bond yield curve, and M2 from ADB KIDB (SBV source) joined to GSO releases.</t>
        </is>
      </c>
    </row>
    <row r="17" ht="42" customHeight="1">
      <c r="A17" s="42" t="inlineStr">
        <is>
          <t>Each quarter uses only information available at its decision date. If a required source fails, publication stops; the model does not silently substitute fabricated or default data.</t>
        </is>
      </c>
    </row>
    <row r="18"/>
    <row r="19">
      <c r="A19" s="41" t="inlineStr">
        <is>
          <t>3. Six-pillar architecture</t>
        </is>
      </c>
    </row>
    <row r="20" ht="42" customHeight="1">
      <c r="A20" s="42" t="inlineStr">
        <is>
          <t>Macro &amp; Monetary 25%; Global &amp; Intermarket 20%; Valuation &amp; Leverage 20%; Econometric Models 15%; Machine Learning 10%; Market Structure 10%. The weighted legs sum to the raw composite.</t>
        </is>
      </c>
    </row>
    <row r="21"/>
    <row r="22">
      <c r="A22" s="41" t="inlineStr">
        <is>
          <t>4. Calibration v2</t>
        </is>
      </c>
    </row>
    <row r="23" ht="42" customHeight="1">
      <c r="A23" s="42" t="inlineStr">
        <is>
          <t>After four initial quarters that retain the raw score, calibration uses prior history only: z = (raw − prior_mean) / max(prior_std, min_std); z is winsorised at ±z_cap; calibrated = center + z_scale × z; the result is clipped to [clip_low, clip_high] and constrained to max_dist_from_raw from the raw score.</t>
        </is>
      </c>
    </row>
    <row r="24" ht="42" customHeight="1">
      <c r="A24" s="42" t="inlineStr">
        <is>
          <t>SCORE_CALIBRATION parameters are center 50, z_scale 15, min_history 4, min_std 5.0, z_cap 3.0, max_dist_from_raw 25.0, and clip 0–100. The min_std floor prevents unstable small-sample dispersion from magnifying z; z_cap limits outlier leverage; max_dist_from_raw prevents the action signal from moving implausibly far from the raw evidence. These v2 safeguards address the 2022-Q2 collapse to 0.00.</t>
        </is>
      </c>
    </row>
    <row r="25"/>
    <row r="26">
      <c r="A26" s="41" t="inlineStr">
        <is>
          <t>5. Action bands</t>
        </is>
      </c>
    </row>
    <row r="27" ht="42" customHeight="1">
      <c r="A27" s="42" t="inlineStr">
        <is>
          <t>80–100 BUY (85–100% equities); 65–79.99 ACCUMULATE (70–85%); 50–64.99 HOLD (40–60%); 35–49.99 REDUCE (20–40%); 0–34.99 SELL (0–20%).</t>
        </is>
      </c>
    </row>
    <row r="28"/>
    <row r="29">
      <c r="A29" s="41" t="inlineStr">
        <is>
          <t>6. Validation and backtest</t>
        </is>
      </c>
    </row>
    <row r="30" ht="42" customHeight="1">
      <c r="A30" s="42" t="inlineStr">
        <is>
          <t>Sheets 06–09 expose regression, VAR/Granger, walk-forward ML validation and feature importance. Sheet 10 provides formula-driven efficacy and backtest statistics with point-in-time outcomes.</t>
        </is>
      </c>
    </row>
    <row r="31"/>
    <row r="32">
      <c r="A32" s="41" t="inlineStr">
        <is>
          <t>7. Limitations</t>
        </is>
      </c>
    </row>
    <row r="33" ht="42" customHeight="1">
      <c r="A33" s="42" t="inlineStr">
        <is>
          <t>The sample contains only 24 quarters, so confidence intervals are wide. Weights, thresholds and calibration parameters are design judgments selected with knowledge of the full sample; they were not optimized out of sample. The latest quarter may be PROVISIONAL until all quarter-end sources are complete.</t>
        </is>
      </c>
    </row>
    <row r="34"/>
    <row r="35">
      <c r="A35" s="41" t="inlineStr">
        <is>
          <t>8. How to audit this workbook</t>
        </is>
      </c>
    </row>
    <row r="36" ht="42" customHeight="1">
      <c r="A36" s="42" t="inlineStr">
        <is>
          <t>Start at sheet 00, trace its formulas to sheet 05, then follow raw composite links through sheets 04, 03 and 02. Confirm parameters on sheet 01, model evidence on sheets 06–09, backtest formulas on sheet 10, and provenance on sheet 11. The yellow cells are formulas; verify_workbook_accuracy.py independently evaluates and reconciles them.</t>
        </is>
      </c>
    </row>
  </sheetData>
  <mergeCells count="18">
    <mergeCell ref="A24:F24"/>
    <mergeCell ref="A16:F16"/>
    <mergeCell ref="A33:F33"/>
    <mergeCell ref="A13:F13"/>
    <mergeCell ref="A19:F19"/>
    <mergeCell ref="A36:F36"/>
    <mergeCell ref="A23:F23"/>
    <mergeCell ref="A29:F29"/>
    <mergeCell ref="A27:F27"/>
    <mergeCell ref="A32:F32"/>
    <mergeCell ref="A26:F26"/>
    <mergeCell ref="A22:F22"/>
    <mergeCell ref="A17:F17"/>
    <mergeCell ref="A12:F12"/>
    <mergeCell ref="A35:F35"/>
    <mergeCell ref="A20:F20"/>
    <mergeCell ref="A30:F30"/>
    <mergeCell ref="A15:F15"/>
  </mergeCells>
  <pageMargins left="0.75" right="0.75" top="1" bottom="1" header="0.5" footer="0.5"/>
  <pageSetup fitToHeight="0" fitToWidth="1"/>
</worksheet>
</file>

<file path=xl/worksheets/sheet14.xml><?xml version="1.0" encoding="utf-8"?>
<worksheet xmlns="http://schemas.openxmlformats.org/spreadsheetml/2006/main">
  <sheetPr>
    <tabColor rgb="00047857"/>
    <outlinePr summaryBelow="1" summaryRight="1"/>
    <pageSetUpPr fitToPage="1"/>
  </sheetPr>
  <dimension ref="A1:F36"/>
  <sheetViews>
    <sheetView showGridLines="0" workbookViewId="0">
      <pane ySplit="4" topLeftCell="A5" activePane="bottomLeft" state="frozen"/>
      <selection pane="bottomLeft" activeCell="A1" sqref="A1"/>
    </sheetView>
  </sheetViews>
  <sheetFormatPr baseColWidth="8" defaultRowHeight="15"/>
  <cols>
    <col width="42" customWidth="1" min="1" max="1"/>
    <col width="11" customWidth="1" min="2" max="2"/>
    <col width="11" customWidth="1" min="3" max="3"/>
    <col width="11" customWidth="1" min="4" max="4"/>
    <col width="11" customWidth="1" min="5" max="5"/>
    <col width="11" customWidth="1" min="6" max="6"/>
  </cols>
  <sheetData>
    <row r="1">
      <c r="A1" s="1" t="inlineStr">
        <is>
          <t>MÔ HÌNH ĐỊNH LƯỢNG VN-INDEX — PHƯƠNG PHÁP &amp; CÁCH DIỄN GIẢI</t>
        </is>
      </c>
    </row>
    <row r="2">
      <c r="A2" s="2" t="inlineStr">
        <is>
          <t>Hướng dẫn tiếng Việt | phạm vi, kỷ luật point-in-time, kiến trúc, hiệu chỉnh, kiểm định và kiểm toán</t>
        </is>
      </c>
    </row>
    <row r="3"/>
    <row r="4">
      <c r="A4" s="6" t="inlineStr">
        <is>
          <t>ẢNH CHỤP TRỰC TIẾP — LIÊN KẾT BẰNG CÔNG THỨC TỚI DASHBOARD</t>
        </is>
      </c>
    </row>
    <row r="5">
      <c r="A5" s="38" t="inlineStr">
        <is>
          <t>Quý mới nhất</t>
        </is>
      </c>
      <c r="B5" s="39">
        <f>'00_Executive_Dashboard'!A6</f>
        <v/>
      </c>
    </row>
    <row r="6">
      <c r="A6" s="38" t="inlineStr">
        <is>
          <t>Hành động hiệu chỉnh</t>
        </is>
      </c>
      <c r="B6" s="39">
        <f>'00_Executive_Dashboard'!B6</f>
        <v/>
      </c>
    </row>
    <row r="7">
      <c r="A7" s="38" t="inlineStr">
        <is>
          <t>Điểm hiệu chỉnh</t>
        </is>
      </c>
      <c r="B7" s="40">
        <f>'00_Executive_Dashboard'!C6</f>
        <v/>
      </c>
    </row>
    <row r="8">
      <c r="A8" s="38" t="inlineStr">
        <is>
          <t>Tỷ trọng cổ phiếu</t>
        </is>
      </c>
      <c r="B8" s="39">
        <f>'00_Executive_Dashboard'!D6</f>
        <v/>
      </c>
    </row>
    <row r="9">
      <c r="A9" s="38" t="inlineStr">
        <is>
          <t>Điểm tổng hợp thô</t>
        </is>
      </c>
      <c r="B9" s="40">
        <f>'00_Executive_Dashboard'!E6</f>
        <v/>
      </c>
    </row>
    <row r="10"/>
    <row r="11"/>
    <row r="12">
      <c r="A12" s="41" t="inlineStr">
        <is>
          <t>1. Mô hình cho ra cái gì</t>
        </is>
      </c>
    </row>
    <row r="13" ht="42" customHeight="1">
      <c r="A13" s="42" t="inlineStr">
        <is>
          <t>Đầu ra là điểm thế trận phân bổ theo quý và hành động danh mục tương ứng. Đây KHÔNG phải dự báo lợi suất và KHÔNG phải xác suất thị trường sụp đổ. Mô hình là công cụ hỗ trợ quyết định có kỷ luật, không phải khuyến nghị đầu tư.</t>
        </is>
      </c>
    </row>
    <row r="14"/>
    <row r="15">
      <c r="A15" s="41" t="inlineStr">
        <is>
          <t>2. Dữ liệu và kỷ luật point-in-time</t>
        </is>
      </c>
    </row>
    <row r="16" ht="42" customHeight="1">
      <c r="A16" s="42" t="inlineStr">
        <is>
          <t>Đầu vào gồm OHLCV VN-Index, vốn hóa HOSE, dòng vốn ngoại VNDirect api-finfo v4 cho STOCK_HOSE và ETF_HOSE, ADTV, đường cong lợi suất TPCP Việt Nam khớp Nelson-Siegel, cùng M2 từ ADB KIDB (nguồn SBV) nối với công bố GSO.</t>
        </is>
      </c>
    </row>
    <row r="17" ht="42" customHeight="1">
      <c r="A17" s="42" t="inlineStr">
        <is>
          <t>Mỗi quý chỉ dùng thông tin đã có tại ngày ra quyết định. Nếu nguồn bắt buộc gặp lỗi, hệ thống dừng công bố; mô hình không âm thầm thay bằng dữ liệu bịa đặt hoặc giá trị mặc định.</t>
        </is>
      </c>
    </row>
    <row r="18"/>
    <row r="19">
      <c r="A19" s="41" t="inlineStr">
        <is>
          <t>3. Kiến trúc sáu trụ cột</t>
        </is>
      </c>
    </row>
    <row r="20" ht="42" customHeight="1">
      <c r="A20" s="42" t="inlineStr">
        <is>
          <t>Vĩ mô &amp; Tiền tệ 25%; Toàn cầu &amp; Liên thị trường 20%; Định giá &amp; Đòn bẩy 20%; Mô hình Kinh tế lượng 15%; Học máy 10%; Cấu trúc Thị trường 10%. Các phần có trọng số cộng thành điểm tổng hợp thô.</t>
        </is>
      </c>
    </row>
    <row r="21"/>
    <row r="22">
      <c r="A22" s="41" t="inlineStr">
        <is>
          <t>4. Hiệu chỉnh v2</t>
        </is>
      </c>
    </row>
    <row r="23" ht="42" customHeight="1">
      <c r="A23" s="42" t="inlineStr">
        <is>
          <t>Bốn quý đầu giữ nguyên điểm thô. Sau đó chỉ dùng lịch sử trước quý hiện tại: z = (raw − prior_mean) / max(prior_std, min_std); winsorise z tại ±z_cap; calibrated = center + z_scale × z; cắt trong [clip_low, clip_high] và ràng buộc khoảng cách so với điểm thô bởi max_dist_from_raw.</t>
        </is>
      </c>
    </row>
    <row r="24" ht="42" customHeight="1">
      <c r="A24" s="42" t="inlineStr">
        <is>
          <t>Tham số SCORE_CALIBRATION: center 50, z_scale 15, min_history 4, min_std 5.0, z_cap 3.0, max_dist_from_raw 25.0, clip 0–100. Sàn min_std ngăn độ phân tán mẫu nhỏ làm phóng đại z; z_cap hạn chế sức chi phối của ngoại lệ; max_dist_from_raw ngăn tín hiệu hành động lệch phi lý khỏi bằng chứng thô. Ba chốt v2 này xử lý sự cố 2022-Q2 tụt về 0.00.</t>
        </is>
      </c>
    </row>
    <row r="25"/>
    <row r="26">
      <c r="A26" s="41" t="inlineStr">
        <is>
          <t>5. Dải hành động</t>
        </is>
      </c>
    </row>
    <row r="27" ht="42" customHeight="1">
      <c r="A27" s="42" t="inlineStr">
        <is>
          <t>80–100 BUY (85–100% cổ phiếu); 65–79.99 ACCUMULATE (70–85%); 50–64.99 HOLD (40–60%); 35–49.99 REDUCE (20–40%); 0–34.99 SELL (0–20%).</t>
        </is>
      </c>
    </row>
    <row r="28"/>
    <row r="29">
      <c r="A29" s="41" t="inlineStr">
        <is>
          <t>6. Kiểm định và backtest</t>
        </is>
      </c>
    </row>
    <row r="30" ht="42" customHeight="1">
      <c r="A30" s="42" t="inlineStr">
        <is>
          <t>Các sheet 06–09 trình bày hồi quy, VAR/Granger, kiểm định walk-forward cho ML và mức quan trọng đặc trưng. Sheet 10 cung cấp thống kê hiệu lực và backtest bằng công thức với kết quả point-in-time.</t>
        </is>
      </c>
    </row>
    <row r="31"/>
    <row r="32">
      <c r="A32" s="41" t="inlineStr">
        <is>
          <t>7. Hạn chế</t>
        </is>
      </c>
    </row>
    <row r="33" ht="42" customHeight="1">
      <c r="A33" s="42" t="inlineStr">
        <is>
          <t>Mẫu chỉ gồm 24 quý nên khoảng tin cậy rộng. Trọng số, ngưỡng và tham số hiệu chỉnh là phán định thiết kế khi đã biết toàn mẫu; chúng chưa được tối ưu ngoài mẫu. Quý mới nhất có thể ở trạng thái PROVISIONAL cho tới khi nguồn cuối quý hoàn tất.</t>
        </is>
      </c>
    </row>
    <row r="34"/>
    <row r="35">
      <c r="A35" s="41" t="inlineStr">
        <is>
          <t>8. Cách kiểm toán workbook</t>
        </is>
      </c>
    </row>
    <row r="36" ht="42" customHeight="1">
      <c r="A36" s="42" t="inlineStr">
        <is>
          <t>Bắt đầu ở sheet 00, lần theo công thức tới sheet 05, rồi lần điểm tổng hợp thô qua các sheet 04, 03 và 02. Đối chiếu tham số ở sheet 01, bằng chứng mô hình ở sheet 06–09, công thức backtest ở sheet 10 và nguồn gốc dữ liệu ở sheet 11. Ô màu vàng là công thức; verify_workbook_accuracy.py đánh giá độc lập và đối soát chúng.</t>
        </is>
      </c>
    </row>
  </sheetData>
  <mergeCells count="18">
    <mergeCell ref="A24:F24"/>
    <mergeCell ref="A16:F16"/>
    <mergeCell ref="A33:F33"/>
    <mergeCell ref="A13:F13"/>
    <mergeCell ref="A19:F19"/>
    <mergeCell ref="A36:F36"/>
    <mergeCell ref="A23:F23"/>
    <mergeCell ref="A29:F29"/>
    <mergeCell ref="A27:F27"/>
    <mergeCell ref="A32:F32"/>
    <mergeCell ref="A26:F26"/>
    <mergeCell ref="A22:F22"/>
    <mergeCell ref="A17:F17"/>
    <mergeCell ref="A12:F12"/>
    <mergeCell ref="A35:F35"/>
    <mergeCell ref="A20:F20"/>
    <mergeCell ref="A30:F30"/>
    <mergeCell ref="A15:F15"/>
  </mergeCells>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2026-10-01T14:40:52Z</dcterms:created>
  <dcterms:modified xmlns:dcterms="http://purl.org/dc/terms/" xmlns:xsi="http://www.w3.org/2001/XMLSchema-instance" xsi:type="dcterms:W3CDTF">2026-10-01T14:40:52Z</dcterms:modified>
</cp:coreProperties>
</file>