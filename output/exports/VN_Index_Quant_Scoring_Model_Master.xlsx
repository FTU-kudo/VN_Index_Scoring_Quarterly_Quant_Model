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Executive_Dashboard" sheetId="1" state="visible" r:id="rId1"/>
    <sheet name="01_Model_Config" sheetId="2" state="visible" r:id="rId2"/>
    <sheet name="02_Market_Inputs" sheetId="3" state="visible" r:id="rId3"/>
    <sheet name="03_Factor_SubScores" sheetId="4" state="visible" r:id="rId4"/>
    <sheet name="04_Pillar_Calculation" sheetId="5" state="visible" r:id="rId5"/>
    <sheet name="05_Composite_Calibration" sheetId="6" state="visible" r:id="rId6"/>
    <sheet name="06_MLR_Regression" sheetId="7" state="visible" r:id="rId7"/>
    <sheet name="07_VAR_Granger" sheetId="8" state="visible" r:id="rId8"/>
    <sheet name="08_ML_Validation" sheetId="9" state="visible" r:id="rId9"/>
    <sheet name="09_Feature_Importance" sheetId="10" state="visible" r:id="rId10"/>
    <sheet name="10_Backtest_Efficacy" sheetId="11" state="visible" r:id="rId11"/>
    <sheet name="11_Data_Audit_Backfil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0000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475569"/>
      <sz val="9"/>
    </font>
    <font>
      <name val="Calibri"/>
      <b val="1"/>
      <color rgb="001E3A8A"/>
      <sz val="18"/>
    </font>
    <font>
      <name val="Calibri"/>
      <b val="1"/>
      <color rgb="001E3A8A"/>
      <sz val="12"/>
    </font>
    <font>
      <name val="Calibri"/>
      <b val="1"/>
      <color rgb="001E3A8A"/>
      <sz val="11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164" fontId="9" fillId="5" borderId="3" applyAlignment="1" pivotButton="0" quotePrefix="0" xfId="0">
      <alignment horizontal="right" vertical="center"/>
    </xf>
    <xf numFmtId="2" fontId="9" fillId="5" borderId="3" applyAlignment="1" pivotButton="0" quotePrefix="0" xfId="0">
      <alignment horizontal="right" vertical="center"/>
    </xf>
    <xf numFmtId="0" fontId="9" fillId="5" borderId="3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4" fontId="8" fillId="4" borderId="1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2" fontId="9" fillId="5" borderId="1" applyAlignment="1" pivotButton="0" quotePrefix="0" xfId="0">
      <alignment horizontal="right" vertical="center"/>
    </xf>
    <xf numFmtId="166" fontId="8" fillId="4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8" fillId="4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10" fontId="8" fillId="0" borderId="1" applyAlignment="1" pivotButton="0" quotePrefix="0" xfId="0">
      <alignment horizontal="right" vertical="center"/>
    </xf>
    <xf numFmtId="10" fontId="8" fillId="4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5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5" customWidth="1" min="3" max="3"/>
    <col width="20" customWidth="1" min="4" max="4"/>
    <col width="24" customWidth="1" min="5" max="5"/>
    <col width="20" customWidth="1" min="6" max="6"/>
    <col width="18" customWidth="1" min="7" max="7"/>
    <col width="25" customWidth="1" min="8" max="8"/>
  </cols>
  <sheetData>
    <row r="1"/>
    <row r="2">
      <c r="B2" s="1" t="inlineStr">
        <is>
          <t>VN-INDEX QUANTITATIVE SCORING SYSTEM — EXECUTIVE DASHBOARD (2021-2026)</t>
        </is>
      </c>
    </row>
    <row r="3">
      <c r="B3" s="2" t="inlineStr">
        <is>
          <t>Quarterly Macro-Quant Valuation &amp; Asset Allocation System for Buy-side Portfolio Management (Live Dynamic Formulas)</t>
        </is>
      </c>
    </row>
    <row r="4"/>
    <row r="5">
      <c r="B5" s="3" t="inlineStr">
        <is>
          <t>LATEST DECISION QUARTER</t>
        </is>
      </c>
      <c r="C5" s="3" t="inlineStr">
        <is>
          <t>CALIBRATED ACTION SIGNAL</t>
        </is>
      </c>
      <c r="D5" s="3" t="inlineStr">
        <is>
          <t>CALIBRATED SCORE</t>
        </is>
      </c>
      <c r="E5" s="3" t="inlineStr">
        <is>
          <t>SUGGESTED ALLOCATION</t>
        </is>
      </c>
      <c r="F5" s="3" t="inlineStr">
        <is>
          <t>RAW COMPOSITE SCORE</t>
        </is>
      </c>
    </row>
    <row r="6">
      <c r="B6" s="4">
        <f>'05_Composite_Calibration'!A28</f>
        <v/>
      </c>
      <c r="C6" s="4">
        <f>'05_Composite_Calibration'!K28</f>
        <v/>
      </c>
      <c r="D6" s="5">
        <f>'05_Composite_Calibration'!J28</f>
        <v/>
      </c>
      <c r="E6" s="6">
        <f>'05_Composite_Calibration'!L28</f>
        <v/>
      </c>
      <c r="F6" s="5">
        <f>'05_Composite_Calibration'!D28</f>
        <v/>
      </c>
    </row>
    <row r="7"/>
    <row r="8"/>
    <row r="9">
      <c r="B9" s="7" t="inlineStr">
        <is>
          <t>1. SIX QUANTITATIVE PILLARS BREAKDOWN (LATEST QUARTER: 2026-Q4)</t>
        </is>
      </c>
    </row>
    <row r="10">
      <c r="B10" s="8" t="inlineStr">
        <is>
          <t>Pillar Code</t>
        </is>
      </c>
      <c r="C10" s="8" t="inlineStr">
        <is>
          <t>Pillar Name</t>
        </is>
      </c>
      <c r="D10" s="8" t="inlineStr">
        <is>
          <t>Weight (% NAV)</t>
        </is>
      </c>
      <c r="E10" s="8" t="inlineStr">
        <is>
          <t>Raw Score (0-100)</t>
        </is>
      </c>
      <c r="F10" s="8" t="inlineStr">
        <is>
          <t>Weighted Score</t>
        </is>
      </c>
      <c r="G10" s="8" t="inlineStr">
        <is>
          <t>Contribution (%)</t>
        </is>
      </c>
      <c r="H10" s="8" t="inlineStr">
        <is>
          <t>Regime Assessment</t>
        </is>
      </c>
    </row>
    <row r="11">
      <c r="B11" s="9" t="inlineStr">
        <is>
          <t>macro_monetary</t>
        </is>
      </c>
      <c r="C11" s="9" t="inlineStr">
        <is>
          <t>Macro &amp; Monetary Policy</t>
        </is>
      </c>
      <c r="D11" s="10">
        <f>'01_Model_Config'!$C$6</f>
        <v/>
      </c>
      <c r="E11" s="11">
        <f>'04_Pillar_Calculation'!C28</f>
        <v/>
      </c>
      <c r="F11" s="11">
        <f>'04_Pillar_Calculation'!I28</f>
        <v/>
      </c>
      <c r="G11" s="10">
        <f>F11/$F$17</f>
        <v/>
      </c>
      <c r="H11" s="12">
        <f>IF(E11&gt;=65, "Favorable", IF(E11&gt;=50, "Neutral", "Unfavorable"))</f>
        <v/>
      </c>
    </row>
    <row r="12">
      <c r="B12" s="13" t="inlineStr">
        <is>
          <t>global_intermarket</t>
        </is>
      </c>
      <c r="C12" s="13" t="inlineStr">
        <is>
          <t>Global &amp; Intermarket Pressure</t>
        </is>
      </c>
      <c r="D12" s="14">
        <f>'01_Model_Config'!$C$7</f>
        <v/>
      </c>
      <c r="E12" s="15">
        <f>'04_Pillar_Calculation'!D28</f>
        <v/>
      </c>
      <c r="F12" s="15">
        <f>'04_Pillar_Calculation'!J28</f>
        <v/>
      </c>
      <c r="G12" s="14">
        <f>F12/$F$17</f>
        <v/>
      </c>
      <c r="H12" s="16">
        <f>IF(E12&gt;=65, "Favorable", IF(E12&gt;=50, "Neutral", "Unfavorable"))</f>
        <v/>
      </c>
    </row>
    <row r="13">
      <c r="B13" s="9" t="inlineStr">
        <is>
          <t>valuation_leverage</t>
        </is>
      </c>
      <c r="C13" s="9" t="inlineStr">
        <is>
          <t>Valuation &amp; Margin Leverage</t>
        </is>
      </c>
      <c r="D13" s="10">
        <f>'01_Model_Config'!$C$8</f>
        <v/>
      </c>
      <c r="E13" s="11">
        <f>'04_Pillar_Calculation'!E28</f>
        <v/>
      </c>
      <c r="F13" s="11">
        <f>'04_Pillar_Calculation'!K28</f>
        <v/>
      </c>
      <c r="G13" s="10">
        <f>F13/$F$17</f>
        <v/>
      </c>
      <c r="H13" s="12">
        <f>IF(E13&gt;=65, "Undervalued / Safe", IF(E13&gt;=50, "Fair Value", "Overvalued / High Risk"))</f>
        <v/>
      </c>
    </row>
    <row r="14">
      <c r="B14" s="13" t="inlineStr">
        <is>
          <t>quant_model</t>
        </is>
      </c>
      <c r="C14" s="13" t="inlineStr">
        <is>
          <t>Econometric Models (MLR + VAR)</t>
        </is>
      </c>
      <c r="D14" s="14">
        <f>'01_Model_Config'!$C$9</f>
        <v/>
      </c>
      <c r="E14" s="15">
        <f>'04_Pillar_Calculation'!F28</f>
        <v/>
      </c>
      <c r="F14" s="15">
        <f>'04_Pillar_Calculation'!L28</f>
        <v/>
      </c>
      <c r="G14" s="14">
        <f>F14/$F$17</f>
        <v/>
      </c>
      <c r="H14" s="16">
        <f>IF(E14&gt;=65, "Positive Forecast", IF(E14&gt;=50, "Neutral", "Negative Forecast"))</f>
        <v/>
      </c>
    </row>
    <row r="15">
      <c r="B15" s="9" t="inlineStr">
        <is>
          <t>ml_forecast</t>
        </is>
      </c>
      <c r="C15" s="9" t="inlineStr">
        <is>
          <t>Machine Learning Forecast (XGBoost)</t>
        </is>
      </c>
      <c r="D15" s="10">
        <f>'01_Model_Config'!$C$10</f>
        <v/>
      </c>
      <c r="E15" s="11">
        <f>'04_Pillar_Calculation'!G28</f>
        <v/>
      </c>
      <c r="F15" s="11">
        <f>'04_Pillar_Calculation'!M28</f>
        <v/>
      </c>
      <c r="G15" s="10">
        <f>F15/$F$17</f>
        <v/>
      </c>
      <c r="H15" s="12">
        <f>IF(E15&gt;=65, "UP Signal", IF(E15&gt;=50, "SIDEWAY Signal", "DOWN Signal"))</f>
        <v/>
      </c>
    </row>
    <row r="16">
      <c r="B16" s="13" t="inlineStr">
        <is>
          <t>market_structure</t>
        </is>
      </c>
      <c r="C16" s="13" t="inlineStr">
        <is>
          <t>Market Structure &amp; FTSE Upgrade</t>
        </is>
      </c>
      <c r="D16" s="14">
        <f>'01_Model_Config'!$C$11</f>
        <v/>
      </c>
      <c r="E16" s="15">
        <f>'04_Pillar_Calculation'!H28</f>
        <v/>
      </c>
      <c r="F16" s="15">
        <f>'04_Pillar_Calculation'!N28</f>
        <v/>
      </c>
      <c r="G16" s="14">
        <f>F16/$F$17</f>
        <v/>
      </c>
      <c r="H16" s="16">
        <f>IF(E16&gt;=65, "High Liquidity / FTSE+", IF(E16&gt;=50, "Stable", "Low Liquidity"))</f>
        <v/>
      </c>
    </row>
    <row r="17">
      <c r="B17" s="17" t="inlineStr">
        <is>
          <t>COMPOSITE TOTAL</t>
        </is>
      </c>
      <c r="C17" s="17" t="inlineStr">
        <is>
          <t>Weighted Composite Score</t>
        </is>
      </c>
      <c r="D17" s="18">
        <f>SUM(D11:D16)</f>
        <v/>
      </c>
      <c r="E17" s="19">
        <f>AVERAGE(E11:E16)</f>
        <v/>
      </c>
      <c r="F17" s="19">
        <f>SUM(F11:F16)</f>
        <v/>
      </c>
      <c r="G17" s="18">
        <f>SUM(G11:G16)</f>
        <v/>
      </c>
      <c r="H17" s="20">
        <f>'05_Composite_Calibration'!E28</f>
        <v/>
      </c>
    </row>
    <row r="18"/>
    <row r="19"/>
    <row r="20">
      <c r="B20" s="7" t="inlineStr">
        <is>
          <t>2. STRATEGY BACKTEST PERFORMANCE VS VN-INDEX BENCHMARK (24 QUARTERS: 2021-2026)</t>
        </is>
      </c>
    </row>
    <row r="21">
      <c r="B21" s="21" t="inlineStr">
        <is>
          <t>Performance Metric</t>
        </is>
      </c>
      <c r="C21" s="21" t="inlineStr">
        <is>
          <t>Quant Model Strategy (Calibrated)</t>
        </is>
      </c>
      <c r="D21" s="21" t="inlineStr">
        <is>
          <t>VN-Index Buy &amp; Hold Benchmark</t>
        </is>
      </c>
      <c r="E21" s="21" t="inlineStr">
        <is>
          <t>Spread / Alpha Protection</t>
        </is>
      </c>
      <c r="F21" s="21" t="inlineStr">
        <is>
          <t>Economic Interpretation</t>
        </is>
      </c>
    </row>
    <row r="22">
      <c r="B22" s="9" t="inlineStr">
        <is>
          <t>Cumulative Total Return</t>
        </is>
      </c>
      <c r="C22" s="10">
        <f>'10_Backtest_Efficacy'!B32</f>
        <v/>
      </c>
      <c r="D22" s="10">
        <f>'10_Backtest_Efficacy'!C32</f>
        <v/>
      </c>
      <c r="E22" s="10">
        <f>C22-D22</f>
        <v/>
      </c>
      <c r="F22" s="9" t="inlineStr">
        <is>
          <t>Total compounding growth over full 24-quarter horizon</t>
        </is>
      </c>
    </row>
    <row r="23">
      <c r="B23" s="13" t="inlineStr">
        <is>
          <t>Compound Annual Growth Rate (CAGR)</t>
        </is>
      </c>
      <c r="C23" s="14">
        <f>'10_Backtest_Efficacy'!B33</f>
        <v/>
      </c>
      <c r="D23" s="14">
        <f>'10_Backtest_Efficacy'!C33</f>
        <v/>
      </c>
      <c r="E23" s="14">
        <f>C23-D23</f>
        <v/>
      </c>
      <c r="F23" s="13" t="inlineStr">
        <is>
          <t>Annualized geometric growth rate</t>
        </is>
      </c>
    </row>
    <row r="24">
      <c r="B24" s="9" t="inlineStr">
        <is>
          <t>Maximum Drawdown (MDD)</t>
        </is>
      </c>
      <c r="C24" s="10">
        <f>'10_Backtest_Efficacy'!B34</f>
        <v/>
      </c>
      <c r="D24" s="10">
        <f>'10_Backtest_Efficacy'!C34</f>
        <v/>
      </c>
      <c r="E24" s="10">
        <f>C24-D24</f>
        <v/>
      </c>
      <c r="F24" s="9" t="inlineStr">
        <is>
          <t>Capital protection during major bear markets (2022 &amp; 2026)</t>
        </is>
      </c>
    </row>
    <row r="25">
      <c r="B25" s="13" t="inlineStr">
        <is>
          <t>Annualized Volatility (Risk)</t>
        </is>
      </c>
      <c r="C25" s="14">
        <f>'10_Backtest_Efficacy'!B35</f>
        <v/>
      </c>
      <c r="D25" s="14">
        <f>'10_Backtest_Efficacy'!C35</f>
        <v/>
      </c>
      <c r="E25" s="14">
        <f>C25-D25</f>
        <v/>
      </c>
      <c r="F25" s="13" t="inlineStr">
        <is>
          <t>Annualized standard deviation of portfolio quarterly returns</t>
        </is>
      </c>
    </row>
    <row r="26">
      <c r="B26" s="9" t="inlineStr">
        <is>
          <t>Sharpe Ratio (Rf = 4.5% p.a.)</t>
        </is>
      </c>
      <c r="C26" s="11">
        <f>'10_Backtest_Efficacy'!B36</f>
        <v/>
      </c>
      <c r="D26" s="11">
        <f>'10_Backtest_Efficacy'!C36</f>
        <v/>
      </c>
      <c r="E26" s="11">
        <f>C26-D26</f>
        <v/>
      </c>
      <c r="F26" s="9" t="inlineStr">
        <is>
          <t>Risk-adjusted excess return per unit of total risk</t>
        </is>
      </c>
    </row>
    <row r="27">
      <c r="B27" s="13" t="inlineStr">
        <is>
          <t>Spearman Rank Information Coefficient (IC)</t>
        </is>
      </c>
      <c r="C27" s="22">
        <f>'10_Backtest_Efficacy'!B37</f>
        <v/>
      </c>
      <c r="D27" s="23" t="inlineStr">
        <is>
          <t>N/A</t>
        </is>
      </c>
      <c r="E27" s="23" t="inlineStr">
        <is>
          <t>N/A</t>
        </is>
      </c>
      <c r="F27" s="13" t="inlineStr">
        <is>
          <t>Rank correlation of Calibrated Score vs Forward 1Q Return</t>
        </is>
      </c>
    </row>
    <row r="28">
      <c r="B28" s="9" t="inlineStr">
        <is>
          <t>Directional Hit Rate</t>
        </is>
      </c>
      <c r="C28" s="10">
        <f>'10_Backtest_Efficacy'!B38</f>
        <v/>
      </c>
      <c r="D28" s="24" t="inlineStr">
        <is>
          <t>N/A</t>
        </is>
      </c>
      <c r="E28" s="24" t="inlineStr">
        <is>
          <t>N/A</t>
        </is>
      </c>
      <c r="F28" s="9" t="inlineStr">
        <is>
          <t>Percentage of market regime calls matching market direction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38" customWidth="1" min="2" max="2"/>
    <col width="83" customWidth="1" min="3" max="3"/>
    <col width="87" customWidth="1" min="4" max="4"/>
    <col width="30" customWidth="1" min="5" max="5"/>
    <col width="19" customWidth="1" min="6" max="6"/>
    <col width="75" customWidth="1" min="7" max="7"/>
  </cols>
  <sheetData>
    <row r="1">
      <c r="A1" s="1" t="inlineStr">
        <is>
          <t>VN-INDEX QUANTITATIVE SCORING MODEL — CONFIGURATION &amp; PARAMETERS</t>
        </is>
      </c>
    </row>
    <row r="2">
      <c r="A2" s="2" t="inlineStr">
        <is>
          <t>Single Source of Truth for all weights, score thresholds, calibration parameters, and gains across Workbook</t>
        </is>
      </c>
    </row>
    <row r="3"/>
    <row r="4">
      <c r="A4" s="7" t="inlineStr">
        <is>
          <t>1. SIX QUANTITATIVE PILLARS WEIGHTS (SCORING_WEIGHTS)</t>
        </is>
      </c>
    </row>
    <row r="5">
      <c r="A5" s="8" t="inlineStr">
        <is>
          <t>Pillar Code</t>
        </is>
      </c>
      <c r="B5" s="8" t="inlineStr">
        <is>
          <t>Pillar Name</t>
        </is>
      </c>
      <c r="C5" s="8" t="inlineStr">
        <is>
          <t>Weight (% NAV)</t>
        </is>
      </c>
      <c r="D5" s="8" t="inlineStr">
        <is>
          <t>Key Indicators &amp; Description</t>
        </is>
      </c>
    </row>
    <row r="6">
      <c r="A6" s="9" t="inlineStr">
        <is>
          <t>macro_monetary</t>
        </is>
      </c>
      <c r="B6" s="9" t="inlineStr">
        <is>
          <t>Macro &amp; Monetary Policy</t>
        </is>
      </c>
      <c r="C6" s="10" t="n">
        <v>0.25</v>
      </c>
      <c r="D6" s="9" t="inlineStr">
        <is>
          <t>VN1Y Yield, ΔIR trend, USD/VND Z-score, M2 YoY%, VN10Y Yield, Yield Spread 10Y-1Y</t>
        </is>
      </c>
    </row>
    <row r="7">
      <c r="A7" s="13" t="inlineStr">
        <is>
          <t>global_intermarket</t>
        </is>
      </c>
      <c r="B7" s="13" t="inlineStr">
        <is>
          <t>Global &amp; Intermarket Pressure</t>
        </is>
      </c>
      <c r="C7" s="14" t="n">
        <v>0.2</v>
      </c>
      <c r="D7" s="13" t="inlineStr">
        <is>
          <t>DXY Z-score, US10Y Yield, Net Foreign Flow Z, USD/JPY (Carry trade), Oil Shock</t>
        </is>
      </c>
    </row>
    <row r="8">
      <c r="A8" s="9" t="inlineStr">
        <is>
          <t>valuation_leverage</t>
        </is>
      </c>
      <c r="B8" s="9" t="inlineStr">
        <is>
          <t>Valuation &amp; Margin Leverage</t>
        </is>
      </c>
      <c r="C8" s="10" t="n">
        <v>0.2</v>
      </c>
      <c r="D8" s="9" t="inlineStr">
        <is>
          <t>P/E Z-score (5Y), P/B Z-score, Margin Risk Score (0-100), Earnings Yield Gap (EYG) Z</t>
        </is>
      </c>
    </row>
    <row r="9">
      <c r="A9" s="13" t="inlineStr">
        <is>
          <t>quant_model</t>
        </is>
      </c>
      <c r="B9" s="13" t="inlineStr">
        <is>
          <t>Econometric Models (MLR + VAR)</t>
        </is>
      </c>
      <c r="C9" s="14" t="n">
        <v>0.15</v>
      </c>
      <c r="D9" s="13" t="inlineStr">
        <is>
          <t>MLR forward return forecast, VAR T+5 forecast, Adj-R2 bonus, Granger Leaders count</t>
        </is>
      </c>
    </row>
    <row r="10">
      <c r="A10" s="9" t="inlineStr">
        <is>
          <t>ml_forecast</t>
        </is>
      </c>
      <c r="B10" s="9" t="inlineStr">
        <is>
          <t>Machine Learning Forecast (XGBoost)</t>
        </is>
      </c>
      <c r="C10" s="10" t="n">
        <v>0.1</v>
      </c>
      <c r="D10" s="9" t="inlineStr">
        <is>
          <t>8-fold Walk-Forward Validation Accuracy, F1-score, Directional Prediction UP/DOWN</t>
        </is>
      </c>
    </row>
    <row r="11">
      <c r="A11" s="13" t="inlineStr">
        <is>
          <t>market_structure</t>
        </is>
      </c>
      <c r="B11" s="13" t="inlineStr">
        <is>
          <t>Market Structure &amp; FTSE Upgrade</t>
        </is>
      </c>
      <c r="C11" s="14" t="n">
        <v>0.1</v>
      </c>
      <c r="D11" s="13" t="inlineStr">
        <is>
          <t>FTSE Upgrade Status, Months to Rebalancing bonus, ADTV change QoQ%, ETF Flows</t>
        </is>
      </c>
    </row>
    <row r="12">
      <c r="A12" s="17" t="inlineStr">
        <is>
          <t>TOTAL WEIGHT</t>
        </is>
      </c>
      <c r="B12" s="17" t="inlineStr"/>
      <c r="C12" s="18">
        <f>SUM(C6:C11)</f>
        <v/>
      </c>
      <c r="D12" s="17" t="inlineStr">
        <is>
          <t>Constraint verification: Total weights must equal 100%</t>
        </is>
      </c>
    </row>
    <row r="13"/>
    <row r="14">
      <c r="A14" s="7" t="inlineStr">
        <is>
          <t>2. SCORE BANDS, LABELS &amp; ASSET ALLOCATION MATRIX (SCORE_LABELS)</t>
        </is>
      </c>
    </row>
    <row r="15">
      <c r="A15" s="8" t="inlineStr">
        <is>
          <t>Score Min</t>
        </is>
      </c>
      <c r="B15" s="8" t="inlineStr">
        <is>
          <t>Score Max</t>
        </is>
      </c>
      <c r="C15" s="8" t="inlineStr">
        <is>
          <t>Action Label</t>
        </is>
      </c>
      <c r="D15" s="8" t="inlineStr">
        <is>
          <t>Emoji</t>
        </is>
      </c>
      <c r="E15" s="8" t="inlineStr">
        <is>
          <t>Suggested Equity Allocation</t>
        </is>
      </c>
      <c r="F15" s="8" t="inlineStr">
        <is>
          <t>Model Mid-Weight</t>
        </is>
      </c>
      <c r="G15" s="8" t="inlineStr">
        <is>
          <t>Risk Management &amp; Strategy</t>
        </is>
      </c>
    </row>
    <row r="16">
      <c r="A16" s="12" t="n">
        <v>80</v>
      </c>
      <c r="B16" s="12" t="n">
        <v>100</v>
      </c>
      <c r="C16" s="12" t="inlineStr">
        <is>
          <t>BUY</t>
        </is>
      </c>
      <c r="D16" s="12" t="inlineStr">
        <is>
          <t>🟢</t>
        </is>
      </c>
      <c r="E16" s="12" t="inlineStr">
        <is>
          <t>85% – 100% Equities</t>
        </is>
      </c>
      <c r="F16" s="10" t="n">
        <v>0.925</v>
      </c>
      <c r="G16" s="9" t="inlineStr">
        <is>
          <t>Full exposure to market leaders (VN30), selective margin use</t>
        </is>
      </c>
    </row>
    <row r="17">
      <c r="A17" s="12" t="n">
        <v>65</v>
      </c>
      <c r="B17" s="12" t="n">
        <v>79.98999999999999</v>
      </c>
      <c r="C17" s="12" t="inlineStr">
        <is>
          <t>ACCUMULATE</t>
        </is>
      </c>
      <c r="D17" s="12" t="inlineStr">
        <is>
          <t>🔵</t>
        </is>
      </c>
      <c r="E17" s="12" t="inlineStr">
        <is>
          <t>70% – 85% Equities</t>
        </is>
      </c>
      <c r="F17" s="10" t="n">
        <v>0.775</v>
      </c>
      <c r="G17" s="9" t="inlineStr">
        <is>
          <t>Accumulate high-quality stocks on dips, maintain safe leverage</t>
        </is>
      </c>
    </row>
    <row r="18">
      <c r="A18" s="12" t="n">
        <v>50</v>
      </c>
      <c r="B18" s="12" t="n">
        <v>64.98999999999999</v>
      </c>
      <c r="C18" s="12" t="inlineStr">
        <is>
          <t>HOLD</t>
        </is>
      </c>
      <c r="D18" s="12" t="inlineStr">
        <is>
          <t>🟡</t>
        </is>
      </c>
      <c r="E18" s="12" t="inlineStr">
        <is>
          <t>40% – 60% Equities</t>
        </is>
      </c>
      <c r="F18" s="10" t="n">
        <v>0.5</v>
      </c>
      <c r="G18" s="9" t="inlineStr">
        <is>
          <t>Balanced 50/50 posture, prioritize high dividend yields, no heavy margin</t>
        </is>
      </c>
    </row>
    <row r="19">
      <c r="A19" s="12" t="n">
        <v>35</v>
      </c>
      <c r="B19" s="12" t="n">
        <v>49.99</v>
      </c>
      <c r="C19" s="12" t="inlineStr">
        <is>
          <t>REDUCE</t>
        </is>
      </c>
      <c r="D19" s="12" t="inlineStr">
        <is>
          <t>🟠</t>
        </is>
      </c>
      <c r="E19" s="12" t="inlineStr">
        <is>
          <t>20% – 40% Equities</t>
        </is>
      </c>
      <c r="F19" s="10" t="n">
        <v>0.3</v>
      </c>
      <c r="G19" s="9" t="inlineStr">
        <is>
          <t>Cut high-beta exposure, reduce margin to 0, take partial profits</t>
        </is>
      </c>
    </row>
    <row r="20">
      <c r="A20" s="12" t="n">
        <v>0</v>
      </c>
      <c r="B20" s="12" t="n">
        <v>34.99</v>
      </c>
      <c r="C20" s="12" t="inlineStr">
        <is>
          <t>SELL</t>
        </is>
      </c>
      <c r="D20" s="12" t="inlineStr">
        <is>
          <t>🔴</t>
        </is>
      </c>
      <c r="E20" s="12" t="inlineStr">
        <is>
          <t>0% – 20% Equities</t>
        </is>
      </c>
      <c r="F20" s="10" t="n">
        <v>0.1</v>
      </c>
      <c r="G20" s="9" t="inlineStr">
        <is>
          <t>Maximum capital preservation, hold cash / CDs, Short VN30F futures hedge</t>
        </is>
      </c>
    </row>
    <row r="21"/>
    <row r="22">
      <c r="A22" s="7" t="inlineStr">
        <is>
          <t>3. TIER 2 CALIBRATED ACTION SIGNAL PARAMETERS (SCORE_CALIBRATION)</t>
        </is>
      </c>
    </row>
    <row r="23">
      <c r="A23" s="21" t="inlineStr">
        <is>
          <t>Parameter</t>
        </is>
      </c>
      <c r="B23" s="21" t="inlineStr">
        <is>
          <t>Value</t>
        </is>
      </c>
      <c r="C23" s="21" t="inlineStr">
        <is>
          <t>Mathematical Role &amp; Purpose</t>
        </is>
      </c>
    </row>
    <row r="24">
      <c r="A24" s="9" t="inlineStr">
        <is>
          <t>center</t>
        </is>
      </c>
      <c r="B24" s="24" t="n">
        <v>50</v>
      </c>
      <c r="C24" s="9" t="inlineStr">
        <is>
          <t>Center normalized score for Calibrated Action Signal</t>
        </is>
      </c>
    </row>
    <row r="25">
      <c r="A25" s="9" t="inlineStr">
        <is>
          <t>z_scale</t>
        </is>
      </c>
      <c r="B25" s="24" t="n">
        <v>15</v>
      </c>
      <c r="C25" s="9" t="inlineStr">
        <is>
          <t>Z-score multiplier: 1 historical standard deviation (1σ) ≈ ±15 points calibrated</t>
        </is>
      </c>
    </row>
    <row r="26">
      <c r="A26" s="9" t="inlineStr">
        <is>
          <t>min_history</t>
        </is>
      </c>
      <c r="B26" s="24" t="n">
        <v>4</v>
      </c>
      <c r="C26" s="9" t="inlineStr">
        <is>
          <t>Minimum prior historical quarters required before activating Expanding Z-score</t>
        </is>
      </c>
    </row>
    <row r="27">
      <c r="A27" s="9" t="inlineStr">
        <is>
          <t>clip_low</t>
        </is>
      </c>
      <c r="B27" s="24" t="n">
        <v>0</v>
      </c>
      <c r="C27" s="9" t="inlineStr">
        <is>
          <t>Floor bound for calibrated score</t>
        </is>
      </c>
    </row>
    <row r="28">
      <c r="A28" s="9" t="inlineStr">
        <is>
          <t>clip_high</t>
        </is>
      </c>
      <c r="B28" s="24" t="n">
        <v>100</v>
      </c>
      <c r="C28" s="9" t="inlineStr">
        <is>
          <t>Cap bound for calibrated score</t>
        </is>
      </c>
    </row>
    <row r="29"/>
    <row r="30">
      <c r="A30" s="7" t="inlineStr">
        <is>
          <t>4. MODEL SIGNAL GAIN PARAMETERS (ANTI-SIGNAL-COMPRESSION)</t>
        </is>
      </c>
    </row>
    <row r="31">
      <c r="A31" s="21" t="inlineStr">
        <is>
          <t>Model Name</t>
        </is>
      </c>
      <c r="B31" s="21" t="inlineStr">
        <is>
          <t>Gain Coefficient</t>
        </is>
      </c>
      <c r="C31" s="21" t="inlineStr">
        <is>
          <t>0-100 Score Mapping Formula</t>
        </is>
      </c>
      <c r="D31" s="21" t="inlineStr">
        <is>
          <t>Signal Calibration Description</t>
        </is>
      </c>
    </row>
    <row r="32">
      <c r="A32" s="9" t="inlineStr">
        <is>
          <t>MLR Model</t>
        </is>
      </c>
      <c r="B32" s="24" t="n">
        <v>20000</v>
      </c>
      <c r="C32" s="9" t="inlineStr">
        <is>
          <t>50 + MLR_Pred * Gain</t>
        </is>
      </c>
      <c r="D32" s="9" t="inlineStr">
        <is>
          <t>±0.10%/day forward return maps to 70/30 score band (prev gain 3000 compressed to 53)</t>
        </is>
      </c>
    </row>
    <row r="33">
      <c r="A33" s="9" t="inlineStr">
        <is>
          <t>VAR Model</t>
        </is>
      </c>
      <c r="B33" s="24" t="n">
        <v>5000</v>
      </c>
      <c r="C33" s="9" t="inlineStr">
        <is>
          <t>50 + VAR_Pred * Gain</t>
        </is>
      </c>
      <c r="D33" s="9" t="inlineStr">
        <is>
          <t>VAR T+5 multi-horizon return forecast to 0-100 score mapping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8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13" customWidth="1" min="2" max="2"/>
    <col width="17" customWidth="1" min="3" max="3"/>
    <col width="17" customWidth="1" min="4" max="4"/>
    <col width="13" customWidth="1" min="5" max="5"/>
    <col width="18" customWidth="1" min="6" max="6"/>
    <col width="17" customWidth="1" min="7" max="7"/>
    <col width="12" customWidth="1" min="8" max="8"/>
    <col width="13" customWidth="1" min="9" max="9"/>
    <col width="14" customWidth="1" min="10" max="10"/>
    <col width="18" customWidth="1" min="11" max="11"/>
    <col width="14" customWidth="1" min="12" max="12"/>
    <col width="11" customWidth="1" min="13" max="13"/>
    <col width="12" customWidth="1" min="14" max="14"/>
    <col width="18" customWidth="1" min="15" max="15"/>
    <col width="15" customWidth="1" min="16" max="16"/>
    <col width="13" customWidth="1" min="17" max="17"/>
    <col width="12" customWidth="1" min="18" max="18"/>
    <col width="23" customWidth="1" min="19" max="19"/>
    <col width="15" customWidth="1" min="20" max="20"/>
    <col width="23" customWidth="1" min="21" max="21"/>
    <col width="14" customWidth="1" min="22" max="22"/>
    <col width="24" customWidth="1" min="23" max="23"/>
    <col width="22" customWidth="1" min="24" max="24"/>
    <col width="15" customWidth="1" min="25" max="25"/>
    <col width="18" customWidth="1" min="26" max="26"/>
    <col width="13" customWidth="1" min="27" max="27"/>
    <col width="16" customWidth="1" min="28" max="28"/>
  </cols>
  <sheetData>
    <row r="1">
      <c r="A1" s="1" t="inlineStr">
        <is>
          <t>VN-INDEX QUANTITATIVE MODEL — POINT-IN-TIME MARKET INPUTS (2021-2026)</t>
        </is>
      </c>
    </row>
    <row r="2">
      <c r="A2" s="2" t="inlineStr">
        <is>
          <t>Historical market inputs as of final trading session of prior quarter (Point-in-time, zero look-ahead bias)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VN-Index Close</t>
        </is>
      </c>
      <c r="D4" s="8" t="inlineStr">
        <is>
          <t>VN1Y Yield (%)</t>
        </is>
      </c>
      <c r="E4" s="8" t="inlineStr">
        <is>
          <t>ΔVN1Y (pp)</t>
        </is>
      </c>
      <c r="F4" s="8" t="inlineStr">
        <is>
          <t>VN10Y Yield (%)</t>
        </is>
      </c>
      <c r="G4" s="8" t="inlineStr">
        <is>
          <t>VN Spread (pp)</t>
        </is>
      </c>
      <c r="H4" s="8" t="inlineStr">
        <is>
          <t>USD/VND Z</t>
        </is>
      </c>
      <c r="I4" s="8" t="inlineStr">
        <is>
          <t>M2 YoY (%)</t>
        </is>
      </c>
      <c r="J4" s="8" t="inlineStr">
        <is>
          <t>DXY Z (60d)</t>
        </is>
      </c>
      <c r="K4" s="8" t="inlineStr">
        <is>
          <t>US10Y Yield (%)</t>
        </is>
      </c>
      <c r="L4" s="8" t="inlineStr">
        <is>
          <t>NFF Z-score</t>
        </is>
      </c>
      <c r="M4" s="8" t="inlineStr">
        <is>
          <t>NFF % MC</t>
        </is>
      </c>
      <c r="N4" s="8" t="inlineStr">
        <is>
          <t>USD/JPY Z</t>
        </is>
      </c>
      <c r="O4" s="8" t="inlineStr">
        <is>
          <t>Oil Shock Score</t>
        </is>
      </c>
      <c r="P4" s="8" t="inlineStr">
        <is>
          <t>Headline P/E</t>
        </is>
      </c>
      <c r="Q4" s="8" t="inlineStr">
        <is>
          <t>Median P/E</t>
        </is>
      </c>
      <c r="R4" s="8" t="inlineStr">
        <is>
          <t>Ex-VG P/E</t>
        </is>
      </c>
      <c r="S4" s="8" t="inlineStr">
        <is>
          <t>P/E Z-score</t>
        </is>
      </c>
      <c r="T4" s="8" t="inlineStr">
        <is>
          <t>Headline P/B</t>
        </is>
      </c>
      <c r="U4" s="8" t="inlineStr">
        <is>
          <t>P/B Z-score</t>
        </is>
      </c>
      <c r="V4" s="8" t="inlineStr">
        <is>
          <t>Margin Risk</t>
        </is>
      </c>
      <c r="W4" s="8" t="inlineStr">
        <is>
          <t>EYG Z-score</t>
        </is>
      </c>
      <c r="X4" s="8" t="inlineStr">
        <is>
          <t>ADTV Change QoQ (%)</t>
        </is>
      </c>
      <c r="Y4" s="8" t="inlineStr">
        <is>
          <t>FTSE Upgrade</t>
        </is>
      </c>
      <c r="Z4" s="8" t="inlineStr">
        <is>
          <t>Months to Rebal</t>
        </is>
      </c>
      <c r="AA4" s="8" t="inlineStr">
        <is>
          <t>ETF Flow Z</t>
        </is>
      </c>
      <c r="AB4" s="8" t="inlineStr">
        <is>
          <t>ETF Flow % MC</t>
        </is>
      </c>
    </row>
    <row r="5">
      <c r="A5" s="16" t="inlineStr">
        <is>
          <t>2021-Q1</t>
        </is>
      </c>
      <c r="B5" s="16" t="inlineStr">
        <is>
          <t>2020-12-31</t>
        </is>
      </c>
      <c r="C5" s="25" t="n">
        <v>1191.44</v>
      </c>
      <c r="D5" s="15" t="n">
        <v>0.4326</v>
      </c>
      <c r="E5" s="22" t="n">
        <v>-0.06417399999999999</v>
      </c>
      <c r="F5" s="15" t="n">
        <v>2.0246</v>
      </c>
      <c r="G5" s="15" t="n">
        <v>1.3872</v>
      </c>
      <c r="H5" s="22" t="n">
        <v>-2.68</v>
      </c>
      <c r="I5" s="15" t="n">
        <v>14.53</v>
      </c>
      <c r="J5" s="22" t="n">
        <v>-1.57</v>
      </c>
      <c r="K5" s="15" t="n">
        <v>0.92</v>
      </c>
      <c r="L5" s="22" t="n">
        <v>-2.4315</v>
      </c>
      <c r="M5" s="14" t="n">
        <v>-0.4358</v>
      </c>
      <c r="N5" s="22" t="n">
        <v>-1.76</v>
      </c>
      <c r="O5" s="26" t="n">
        <v>20.7</v>
      </c>
      <c r="P5" s="15" t="n">
        <v>14.5</v>
      </c>
      <c r="Q5" s="15" t="n">
        <v>12</v>
      </c>
      <c r="R5" s="15" t="n">
        <v>11.5</v>
      </c>
      <c r="S5" s="22" t="n"/>
      <c r="T5" s="15" t="n">
        <v>2.1</v>
      </c>
      <c r="U5" s="22" t="n"/>
      <c r="V5" s="26" t="n">
        <v>0</v>
      </c>
      <c r="W5" s="22" t="n"/>
      <c r="X5" s="14" t="n">
        <v>0.606722</v>
      </c>
      <c r="Y5" s="16" t="inlineStr">
        <is>
          <t>pending</t>
        </is>
      </c>
      <c r="Z5" s="26" t="n">
        <v>3</v>
      </c>
      <c r="AA5" s="22" t="n">
        <v>1.8116</v>
      </c>
      <c r="AB5" s="14" t="n">
        <v>0.0559</v>
      </c>
    </row>
    <row r="6">
      <c r="A6" s="12" t="inlineStr">
        <is>
          <t>2021-Q2</t>
        </is>
      </c>
      <c r="B6" s="12" t="inlineStr">
        <is>
          <t>2021-03-31</t>
        </is>
      </c>
      <c r="C6" s="27" t="n">
        <v>1408.55</v>
      </c>
      <c r="D6" s="11" t="n">
        <v>0.464</v>
      </c>
      <c r="E6" s="28" t="n">
        <v>-0.013805</v>
      </c>
      <c r="F6" s="11" t="n">
        <v>2.2209</v>
      </c>
      <c r="G6" s="11" t="n">
        <v>1.669</v>
      </c>
      <c r="H6" s="28" t="n">
        <v>0.6</v>
      </c>
      <c r="I6" s="11" t="n">
        <v>14.53</v>
      </c>
      <c r="J6" s="28" t="n">
        <v>2.39</v>
      </c>
      <c r="K6" s="11" t="n">
        <v>1.75</v>
      </c>
      <c r="L6" s="28" t="n">
        <v>-4.0648</v>
      </c>
      <c r="M6" s="10" t="n">
        <v>-0.9813</v>
      </c>
      <c r="N6" s="28" t="n">
        <v>1.95</v>
      </c>
      <c r="O6" s="29" t="n">
        <v>19.9</v>
      </c>
      <c r="P6" s="11" t="n">
        <v>14.5</v>
      </c>
      <c r="Q6" s="11" t="n">
        <v>12</v>
      </c>
      <c r="R6" s="11" t="n">
        <v>11.5</v>
      </c>
      <c r="S6" s="28" t="n"/>
      <c r="T6" s="11" t="n">
        <v>2.1</v>
      </c>
      <c r="U6" s="28" t="n"/>
      <c r="V6" s="29" t="n">
        <v>4</v>
      </c>
      <c r="W6" s="28" t="n"/>
      <c r="X6" s="10" t="n">
        <v>0.422295</v>
      </c>
      <c r="Y6" s="12" t="inlineStr">
        <is>
          <t>pending</t>
        </is>
      </c>
      <c r="Z6" s="29" t="n">
        <v>3</v>
      </c>
      <c r="AA6" s="28" t="n">
        <v>5.9155</v>
      </c>
      <c r="AB6" s="10" t="n">
        <v>0.1566</v>
      </c>
    </row>
    <row r="7">
      <c r="A7" s="16" t="inlineStr">
        <is>
          <t>2021-Q3</t>
        </is>
      </c>
      <c r="B7" s="16" t="inlineStr">
        <is>
          <t>2021-06-30</t>
        </is>
      </c>
      <c r="C7" s="25" t="n">
        <v>1342.06</v>
      </c>
      <c r="D7" s="15" t="n">
        <v>0.5013</v>
      </c>
      <c r="E7" s="22" t="n">
        <v>0.001505</v>
      </c>
      <c r="F7" s="15" t="n">
        <v>2.057</v>
      </c>
      <c r="G7" s="15" t="n">
        <v>1.3519</v>
      </c>
      <c r="H7" s="22" t="n">
        <v>0.18</v>
      </c>
      <c r="I7" s="15" t="n">
        <v>14.53</v>
      </c>
      <c r="J7" s="22" t="n">
        <v>1.96</v>
      </c>
      <c r="K7" s="15" t="n">
        <v>1.44</v>
      </c>
      <c r="L7" s="22" t="n">
        <v>-0.5589</v>
      </c>
      <c r="M7" s="14" t="n">
        <v>-0.3302</v>
      </c>
      <c r="N7" s="22" t="n">
        <v>1.5</v>
      </c>
      <c r="O7" s="26" t="n">
        <v>12</v>
      </c>
      <c r="P7" s="15" t="n">
        <v>14.5</v>
      </c>
      <c r="Q7" s="15" t="n">
        <v>12</v>
      </c>
      <c r="R7" s="15" t="n">
        <v>11.5</v>
      </c>
      <c r="S7" s="22" t="n"/>
      <c r="T7" s="15" t="n">
        <v>2.1</v>
      </c>
      <c r="U7" s="22" t="n"/>
      <c r="V7" s="26" t="n">
        <v>0</v>
      </c>
      <c r="W7" s="22" t="n"/>
      <c r="X7" s="14" t="n">
        <v>0.111991</v>
      </c>
      <c r="Y7" s="16" t="inlineStr">
        <is>
          <t>pending</t>
        </is>
      </c>
      <c r="Z7" s="26" t="n">
        <v>3</v>
      </c>
      <c r="AA7" s="22" t="n">
        <v>0.4047</v>
      </c>
      <c r="AB7" s="14" t="n">
        <v>0.0557</v>
      </c>
    </row>
    <row r="8">
      <c r="A8" s="12" t="inlineStr">
        <is>
          <t>2021-Q4</t>
        </is>
      </c>
      <c r="B8" s="12" t="inlineStr">
        <is>
          <t>2021-09-30</t>
        </is>
      </c>
      <c r="C8" s="27" t="n">
        <v>1498.28</v>
      </c>
      <c r="D8" s="11" t="n">
        <v>0.5017</v>
      </c>
      <c r="E8" s="28" t="n">
        <v>0.001321</v>
      </c>
      <c r="F8" s="11" t="n">
        <v>1.9128</v>
      </c>
      <c r="G8" s="11" t="n">
        <v>1.2312</v>
      </c>
      <c r="H8" s="28" t="n">
        <v>-0.65</v>
      </c>
      <c r="I8" s="11" t="n">
        <v>14.53</v>
      </c>
      <c r="J8" s="28" t="n">
        <v>2.89</v>
      </c>
      <c r="K8" s="11" t="n">
        <v>1.53</v>
      </c>
      <c r="L8" s="28" t="n">
        <v>0.0507</v>
      </c>
      <c r="M8" s="10" t="n">
        <v>-0.1213</v>
      </c>
      <c r="N8" s="28" t="n">
        <v>3.84</v>
      </c>
      <c r="O8" s="29" t="n">
        <v>21.8</v>
      </c>
      <c r="P8" s="11" t="n">
        <v>14.5</v>
      </c>
      <c r="Q8" s="11" t="n">
        <v>12</v>
      </c>
      <c r="R8" s="11" t="n">
        <v>11.5</v>
      </c>
      <c r="S8" s="28" t="n"/>
      <c r="T8" s="11" t="n">
        <v>2.1</v>
      </c>
      <c r="U8" s="28" t="n"/>
      <c r="V8" s="29" t="n">
        <v>15</v>
      </c>
      <c r="W8" s="28" t="n"/>
      <c r="X8" s="10" t="n">
        <v>-0.063721</v>
      </c>
      <c r="Y8" s="12" t="inlineStr">
        <is>
          <t>pending</t>
        </is>
      </c>
      <c r="Z8" s="29" t="n">
        <v>3</v>
      </c>
      <c r="AA8" s="28" t="n">
        <v>-1.5849</v>
      </c>
      <c r="AB8" s="10" t="n">
        <v>-0.0332</v>
      </c>
    </row>
    <row r="9">
      <c r="A9" s="16" t="inlineStr">
        <is>
          <t>2022-Q1</t>
        </is>
      </c>
      <c r="B9" s="16" t="inlineStr">
        <is>
          <t>2021-12-31</t>
        </is>
      </c>
      <c r="C9" s="25" t="n">
        <v>1492.15</v>
      </c>
      <c r="D9" s="15" t="n">
        <v>0.4944</v>
      </c>
      <c r="E9" s="22" t="n">
        <v>0.017019</v>
      </c>
      <c r="F9" s="15" t="n">
        <v>2.007</v>
      </c>
      <c r="G9" s="15" t="n">
        <v>1.4797</v>
      </c>
      <c r="H9" s="22" t="n">
        <v>-0.05</v>
      </c>
      <c r="I9" s="15" t="n">
        <v>10.66</v>
      </c>
      <c r="J9" s="22" t="n">
        <v>0.33</v>
      </c>
      <c r="K9" s="15" t="n">
        <v>1.51</v>
      </c>
      <c r="L9" s="22" t="n">
        <v>-0.4292</v>
      </c>
      <c r="M9" s="14" t="n">
        <v>-0.286</v>
      </c>
      <c r="N9" s="22" t="n">
        <v>1.82</v>
      </c>
      <c r="O9" s="26" t="n">
        <v>19.1</v>
      </c>
      <c r="P9" s="15" t="n">
        <v>13.5</v>
      </c>
      <c r="Q9" s="15" t="n">
        <v>11</v>
      </c>
      <c r="R9" s="15" t="n">
        <v>10.8</v>
      </c>
      <c r="S9" s="22" t="n">
        <v>1.371628643437462</v>
      </c>
      <c r="T9" s="15" t="n">
        <v>1.8</v>
      </c>
      <c r="U9" s="22" t="n">
        <v>1.724412035726501</v>
      </c>
      <c r="V9" s="26" t="n">
        <v>1</v>
      </c>
      <c r="W9" s="22" t="n">
        <v>-0.8927076300128868</v>
      </c>
      <c r="X9" s="14" t="n">
        <v>0.33276</v>
      </c>
      <c r="Y9" s="16" t="inlineStr">
        <is>
          <t>pending</t>
        </is>
      </c>
      <c r="Z9" s="26" t="n">
        <v>3</v>
      </c>
      <c r="AA9" s="22" t="n">
        <v>-0.3814</v>
      </c>
      <c r="AB9" s="14" t="n">
        <v>0.0142</v>
      </c>
    </row>
    <row r="10">
      <c r="A10" s="12" t="inlineStr">
        <is>
          <t>2022-Q2</t>
        </is>
      </c>
      <c r="B10" s="12" t="inlineStr">
        <is>
          <t>2022-03-31</t>
        </is>
      </c>
      <c r="C10" s="27" t="n">
        <v>1197.6</v>
      </c>
      <c r="D10" s="11" t="n">
        <v>1.3143</v>
      </c>
      <c r="E10" s="28" t="n">
        <v>-0.060524</v>
      </c>
      <c r="F10" s="11" t="n">
        <v>2.424</v>
      </c>
      <c r="G10" s="11" t="n">
        <v>0.9445</v>
      </c>
      <c r="H10" s="28" t="n">
        <v>1.02</v>
      </c>
      <c r="I10" s="11" t="n">
        <v>10.66</v>
      </c>
      <c r="J10" s="28" t="n">
        <v>1.03</v>
      </c>
      <c r="K10" s="11" t="n">
        <v>2.33</v>
      </c>
      <c r="L10" s="28" t="n">
        <v>0.1512</v>
      </c>
      <c r="M10" s="10" t="n">
        <v>-0.0992</v>
      </c>
      <c r="N10" s="28" t="n">
        <v>2.24</v>
      </c>
      <c r="O10" s="29" t="n">
        <v>43.6</v>
      </c>
      <c r="P10" s="11" t="n">
        <v>13.5</v>
      </c>
      <c r="Q10" s="11" t="n">
        <v>11</v>
      </c>
      <c r="R10" s="11" t="n">
        <v>10.8</v>
      </c>
      <c r="S10" s="28" t="n">
        <v>1.247339660646479</v>
      </c>
      <c r="T10" s="11" t="n">
        <v>1.8</v>
      </c>
      <c r="U10" s="28" t="n">
        <v>1.59290629195095</v>
      </c>
      <c r="V10" s="29" t="n">
        <v>11</v>
      </c>
      <c r="W10" s="28" t="n">
        <v>-0.8512428058229228</v>
      </c>
      <c r="X10" s="10" t="n">
        <v>-0.076852</v>
      </c>
      <c r="Y10" s="12" t="inlineStr">
        <is>
          <t>pending</t>
        </is>
      </c>
      <c r="Z10" s="29" t="n">
        <v>3</v>
      </c>
      <c r="AA10" s="28" t="n">
        <v>-0.7594</v>
      </c>
      <c r="AB10" s="10" t="n">
        <v>-0.0039</v>
      </c>
    </row>
    <row r="11">
      <c r="A11" s="16" t="inlineStr">
        <is>
          <t>2022-Q3</t>
        </is>
      </c>
      <c r="B11" s="16" t="inlineStr">
        <is>
          <t>2022-06-30</t>
        </is>
      </c>
      <c r="C11" s="25" t="n">
        <v>1132.11</v>
      </c>
      <c r="D11" s="15" t="n">
        <v>1.8151</v>
      </c>
      <c r="E11" s="22" t="n">
        <v>-0.005296</v>
      </c>
      <c r="F11" s="15" t="n">
        <v>3.2011</v>
      </c>
      <c r="G11" s="15" t="n">
        <v>1.1263</v>
      </c>
      <c r="H11" s="22" t="n">
        <v>1.35</v>
      </c>
      <c r="I11" s="15" t="n">
        <v>10.66</v>
      </c>
      <c r="J11" s="22" t="n">
        <v>1.18</v>
      </c>
      <c r="K11" s="15" t="n">
        <v>2.97</v>
      </c>
      <c r="L11" s="22" t="n">
        <v>0.6204</v>
      </c>
      <c r="M11" s="14" t="n">
        <v>0.0525</v>
      </c>
      <c r="N11" s="22" t="n">
        <v>1.87</v>
      </c>
      <c r="O11" s="26" t="n">
        <v>21.1</v>
      </c>
      <c r="P11" s="15" t="n">
        <v>13.5</v>
      </c>
      <c r="Q11" s="15" t="n">
        <v>11</v>
      </c>
      <c r="R11" s="15" t="n">
        <v>10.8</v>
      </c>
      <c r="S11" s="22" t="n">
        <v>0.006185232620439785</v>
      </c>
      <c r="T11" s="15" t="n">
        <v>1.8</v>
      </c>
      <c r="U11" s="22" t="n">
        <v>-0.1240240212033082</v>
      </c>
      <c r="V11" s="26" t="n">
        <v>80</v>
      </c>
      <c r="W11" s="22" t="n">
        <v>-0.3969703305582117</v>
      </c>
      <c r="X11" s="14" t="n">
        <v>-0.295489</v>
      </c>
      <c r="Y11" s="16" t="inlineStr">
        <is>
          <t>pending</t>
        </is>
      </c>
      <c r="Z11" s="26" t="n">
        <v>3</v>
      </c>
      <c r="AA11" s="22" t="n">
        <v>0.4218</v>
      </c>
      <c r="AB11" s="14" t="n">
        <v>0.0476</v>
      </c>
    </row>
    <row r="12">
      <c r="A12" s="12" t="inlineStr">
        <is>
          <t>2022-Q4</t>
        </is>
      </c>
      <c r="B12" s="12" t="inlineStr">
        <is>
          <t>2022-09-30</t>
        </is>
      </c>
      <c r="C12" s="27" t="n">
        <v>1007.09</v>
      </c>
      <c r="D12" s="11" t="n">
        <v>4.0572</v>
      </c>
      <c r="E12" s="28" t="n">
        <v>0.202285</v>
      </c>
      <c r="F12" s="11" t="n">
        <v>4.674</v>
      </c>
      <c r="G12" s="11" t="n">
        <v>0.5962</v>
      </c>
      <c r="H12" s="28" t="n">
        <v>2.82</v>
      </c>
      <c r="I12" s="11" t="n">
        <v>10.66</v>
      </c>
      <c r="J12" s="28" t="n">
        <v>1.68</v>
      </c>
      <c r="K12" s="11" t="n">
        <v>3.8</v>
      </c>
      <c r="L12" s="28" t="n">
        <v>0.5065</v>
      </c>
      <c r="M12" s="10" t="n">
        <v>0.0255</v>
      </c>
      <c r="N12" s="28" t="n">
        <v>1.52</v>
      </c>
      <c r="O12" s="29" t="n">
        <v>17.4</v>
      </c>
      <c r="P12" s="11" t="n">
        <v>13.5</v>
      </c>
      <c r="Q12" s="11" t="n">
        <v>11</v>
      </c>
      <c r="R12" s="11" t="n">
        <v>10.8</v>
      </c>
      <c r="S12" s="28" t="n">
        <v>-0.2126038587946046</v>
      </c>
      <c r="T12" s="11" t="n">
        <v>1.8</v>
      </c>
      <c r="U12" s="28" t="n">
        <v>-0.4172856437916561</v>
      </c>
      <c r="V12" s="29" t="n">
        <v>54</v>
      </c>
      <c r="W12" s="28" t="n">
        <v>-0.4208818841813037</v>
      </c>
      <c r="X12" s="10" t="n">
        <v>-0.08731899999999999</v>
      </c>
      <c r="Y12" s="12" t="inlineStr">
        <is>
          <t>pending</t>
        </is>
      </c>
      <c r="Z12" s="29" t="n">
        <v>3</v>
      </c>
      <c r="AA12" s="28" t="n">
        <v>-1.4748</v>
      </c>
      <c r="AB12" s="10" t="n">
        <v>-0.0348</v>
      </c>
    </row>
    <row r="13">
      <c r="A13" s="16" t="inlineStr">
        <is>
          <t>2023-Q1</t>
        </is>
      </c>
      <c r="B13" s="16" t="inlineStr">
        <is>
          <t>2022-12-30</t>
        </is>
      </c>
      <c r="C13" s="25" t="n">
        <v>1064.64</v>
      </c>
      <c r="D13" s="15" t="n">
        <v>4.6775</v>
      </c>
      <c r="E13" s="22" t="n">
        <v>-0.03116</v>
      </c>
      <c r="F13" s="15" t="n">
        <v>4.8245</v>
      </c>
      <c r="G13" s="15" t="n">
        <v>0.1576</v>
      </c>
      <c r="H13" s="22" t="n">
        <v>-1.39</v>
      </c>
      <c r="I13" s="15" t="n">
        <v>10.66</v>
      </c>
      <c r="J13" s="22" t="n">
        <v>-1.29</v>
      </c>
      <c r="K13" s="15" t="n">
        <v>3.88</v>
      </c>
      <c r="L13" s="22" t="n">
        <v>2.1533</v>
      </c>
      <c r="M13" s="14" t="n">
        <v>0.5325</v>
      </c>
      <c r="N13" s="22" t="n">
        <v>-1.44</v>
      </c>
      <c r="O13" s="26" t="n">
        <v>22</v>
      </c>
      <c r="P13" s="15" t="n">
        <v>13.5</v>
      </c>
      <c r="Q13" s="15" t="n">
        <v>11</v>
      </c>
      <c r="R13" s="15" t="n">
        <v>10.8</v>
      </c>
      <c r="S13" s="22" t="n">
        <v>-0.6946819418923456</v>
      </c>
      <c r="T13" s="15" t="n">
        <v>1.8</v>
      </c>
      <c r="U13" s="22" t="n">
        <v>-1.049413518514857</v>
      </c>
      <c r="V13" s="26" t="n">
        <v>35</v>
      </c>
      <c r="W13" s="22" t="n">
        <v>-0.0493596837226597</v>
      </c>
      <c r="X13" s="14" t="n">
        <v>0.192768</v>
      </c>
      <c r="Y13" s="16" t="inlineStr">
        <is>
          <t>pending</t>
        </is>
      </c>
      <c r="Z13" s="26" t="n">
        <v>3</v>
      </c>
      <c r="AA13" s="22" t="n">
        <v>0.6843</v>
      </c>
      <c r="AB13" s="14" t="n">
        <v>0.0567</v>
      </c>
    </row>
    <row r="14">
      <c r="A14" s="12" t="inlineStr">
        <is>
          <t>2023-Q2</t>
        </is>
      </c>
      <c r="B14" s="12" t="inlineStr">
        <is>
          <t>2023-03-31</t>
        </is>
      </c>
      <c r="C14" s="27" t="n">
        <v>1120.18</v>
      </c>
      <c r="D14" s="11" t="n">
        <v>3.3908</v>
      </c>
      <c r="E14" s="28" t="n">
        <v>-0.068954</v>
      </c>
      <c r="F14" s="11" t="n">
        <v>3.5545</v>
      </c>
      <c r="G14" s="11" t="n">
        <v>0.1561</v>
      </c>
      <c r="H14" s="28" t="n">
        <v>-0.76</v>
      </c>
      <c r="I14" s="11" t="n">
        <v>6.15</v>
      </c>
      <c r="J14" s="28" t="n">
        <v>-0.72</v>
      </c>
      <c r="K14" s="11" t="n">
        <v>3.49</v>
      </c>
      <c r="L14" s="28" t="n">
        <v>0.5327</v>
      </c>
      <c r="M14" s="10" t="n">
        <v>0.0941</v>
      </c>
      <c r="N14" s="28" t="n">
        <v>0.32</v>
      </c>
      <c r="O14" s="29" t="n">
        <v>17.3</v>
      </c>
      <c r="P14" s="11" t="n">
        <v>13.5</v>
      </c>
      <c r="Q14" s="11" t="n">
        <v>11</v>
      </c>
      <c r="R14" s="11" t="n">
        <v>10.8</v>
      </c>
      <c r="S14" s="28" t="n">
        <v>-0.4842622488177234</v>
      </c>
      <c r="T14" s="11" t="n">
        <v>1.8</v>
      </c>
      <c r="U14" s="28" t="n">
        <v>-0.7470652616011775</v>
      </c>
      <c r="V14" s="29" t="n">
        <v>21</v>
      </c>
      <c r="W14" s="28" t="n">
        <v>-0.007539493466672935</v>
      </c>
      <c r="X14" s="10" t="n">
        <v>-0.191478</v>
      </c>
      <c r="Y14" s="12" t="inlineStr">
        <is>
          <t>pending</t>
        </is>
      </c>
      <c r="Z14" s="29" t="n">
        <v>3</v>
      </c>
      <c r="AA14" s="28" t="n">
        <v>-0.24</v>
      </c>
      <c r="AB14" s="10" t="n">
        <v>0.0169</v>
      </c>
    </row>
    <row r="15">
      <c r="A15" s="16" t="inlineStr">
        <is>
          <t>2023-Q3</t>
        </is>
      </c>
      <c r="B15" s="16" t="inlineStr">
        <is>
          <t>2023-06-30</t>
        </is>
      </c>
      <c r="C15" s="25" t="n">
        <v>1154.15</v>
      </c>
      <c r="D15" s="15" t="n">
        <v>2.1614</v>
      </c>
      <c r="E15" s="22" t="n">
        <v>-0.006956</v>
      </c>
      <c r="F15" s="15" t="n">
        <v>2.5684</v>
      </c>
      <c r="G15" s="15" t="n">
        <v>0.3695</v>
      </c>
      <c r="H15" s="22" t="n">
        <v>2.97</v>
      </c>
      <c r="I15" s="15" t="n">
        <v>6.15</v>
      </c>
      <c r="J15" s="22" t="n">
        <v>0.3</v>
      </c>
      <c r="K15" s="15" t="n">
        <v>3.82</v>
      </c>
      <c r="L15" s="22" t="n">
        <v>-0.124</v>
      </c>
      <c r="M15" s="14" t="n">
        <v>-0.1149</v>
      </c>
      <c r="N15" s="22" t="n">
        <v>2.05</v>
      </c>
      <c r="O15" s="26" t="n">
        <v>17.1</v>
      </c>
      <c r="P15" s="15" t="n">
        <v>13.5</v>
      </c>
      <c r="Q15" s="15" t="n">
        <v>11</v>
      </c>
      <c r="R15" s="15" t="n">
        <v>10.8</v>
      </c>
      <c r="S15" s="22" t="n">
        <v>0.05500550277645613</v>
      </c>
      <c r="T15" s="15" t="n">
        <v>1.8</v>
      </c>
      <c r="U15" s="22" t="n">
        <v>-0.104551543339823</v>
      </c>
      <c r="V15" s="26" t="n">
        <v>7</v>
      </c>
      <c r="W15" s="22" t="n">
        <v>-0.2120636389414922</v>
      </c>
      <c r="X15" s="14" t="n">
        <v>0.399685</v>
      </c>
      <c r="Y15" s="16" t="inlineStr">
        <is>
          <t>pending</t>
        </is>
      </c>
      <c r="Z15" s="26" t="n">
        <v>3</v>
      </c>
      <c r="AA15" s="22" t="n">
        <v>-0.7902</v>
      </c>
      <c r="AB15" s="14" t="n">
        <v>-0.0072</v>
      </c>
    </row>
    <row r="16">
      <c r="A16" s="12" t="inlineStr">
        <is>
          <t>2023-Q4</t>
        </is>
      </c>
      <c r="B16" s="12" t="inlineStr">
        <is>
          <t>2023-09-29</t>
        </is>
      </c>
      <c r="C16" s="27" t="n">
        <v>1129.93</v>
      </c>
      <c r="D16" s="11" t="n">
        <v>1.868</v>
      </c>
      <c r="E16" s="28" t="n">
        <v>0.029032</v>
      </c>
      <c r="F16" s="11" t="n">
        <v>2.4762</v>
      </c>
      <c r="G16" s="11" t="n">
        <v>0.5369</v>
      </c>
      <c r="H16" s="28" t="n">
        <v>1.82</v>
      </c>
      <c r="I16" s="11" t="n">
        <v>6.15</v>
      </c>
      <c r="J16" s="28" t="n">
        <v>1.57</v>
      </c>
      <c r="K16" s="11" t="n">
        <v>4.57</v>
      </c>
      <c r="L16" s="28" t="n">
        <v>0.0585</v>
      </c>
      <c r="M16" s="10" t="n">
        <v>-0.0579</v>
      </c>
      <c r="N16" s="28" t="n">
        <v>1.48</v>
      </c>
      <c r="O16" s="29" t="n">
        <v>13.5</v>
      </c>
      <c r="P16" s="11" t="n">
        <v>13.5</v>
      </c>
      <c r="Q16" s="11" t="n">
        <v>11</v>
      </c>
      <c r="R16" s="11" t="n">
        <v>10.8</v>
      </c>
      <c r="S16" s="28" t="n">
        <v>0.341763280898118</v>
      </c>
      <c r="T16" s="11" t="n">
        <v>1.8</v>
      </c>
      <c r="U16" s="28" t="n">
        <v>0.3688640925238618</v>
      </c>
      <c r="V16" s="29" t="n">
        <v>33</v>
      </c>
      <c r="W16" s="28" t="n">
        <v>-0.3459510356149464</v>
      </c>
      <c r="X16" s="10" t="n">
        <v>0.288734</v>
      </c>
      <c r="Y16" s="12" t="inlineStr">
        <is>
          <t>pending</t>
        </is>
      </c>
      <c r="Z16" s="29" t="n">
        <v>3</v>
      </c>
      <c r="AA16" s="28" t="n">
        <v>-1.4875</v>
      </c>
      <c r="AB16" s="10" t="n">
        <v>-0.0384</v>
      </c>
    </row>
    <row r="17">
      <c r="A17" s="16" t="inlineStr">
        <is>
          <t>2024-Q1</t>
        </is>
      </c>
      <c r="B17" s="16" t="inlineStr">
        <is>
          <t>2023-12-29</t>
        </is>
      </c>
      <c r="C17" s="25" t="n">
        <v>1284.09</v>
      </c>
      <c r="D17" s="15" t="n">
        <v>1.6115</v>
      </c>
      <c r="E17" s="22" t="n">
        <v>0.010374</v>
      </c>
      <c r="F17" s="15" t="n">
        <v>2.2174</v>
      </c>
      <c r="G17" s="15" t="n">
        <v>0.5376</v>
      </c>
      <c r="H17" s="22" t="n">
        <v>-0.96</v>
      </c>
      <c r="I17" s="15" t="n">
        <v>6.15</v>
      </c>
      <c r="J17" s="22" t="n">
        <v>-1.73</v>
      </c>
      <c r="K17" s="15" t="n">
        <v>3.87</v>
      </c>
      <c r="L17" s="22" t="n">
        <v>-0.2633</v>
      </c>
      <c r="M17" s="14" t="n">
        <v>-0.1571</v>
      </c>
      <c r="N17" s="22" t="n">
        <v>-2.03</v>
      </c>
      <c r="O17" s="26" t="n">
        <v>14.8</v>
      </c>
      <c r="P17" s="15" t="n">
        <v>13.5</v>
      </c>
      <c r="Q17" s="15" t="n">
        <v>11</v>
      </c>
      <c r="R17" s="15" t="n">
        <v>10.8</v>
      </c>
      <c r="S17" s="22" t="n">
        <v>0.4231462359114922</v>
      </c>
      <c r="T17" s="15" t="n">
        <v>1.8</v>
      </c>
      <c r="U17" s="22" t="n">
        <v>0.3929348724985154</v>
      </c>
      <c r="V17" s="26" t="n">
        <v>10</v>
      </c>
      <c r="W17" s="22" t="n">
        <v>-0.3352892107915442</v>
      </c>
      <c r="X17" s="14" t="n">
        <v>-0.288754</v>
      </c>
      <c r="Y17" s="16" t="inlineStr">
        <is>
          <t>pending</t>
        </is>
      </c>
      <c r="Z17" s="26" t="n">
        <v>3</v>
      </c>
      <c r="AA17" s="22" t="n">
        <v>-1.7808</v>
      </c>
      <c r="AB17" s="14" t="n">
        <v>-0.0563</v>
      </c>
    </row>
    <row r="18">
      <c r="A18" s="12" t="inlineStr">
        <is>
          <t>2024-Q2</t>
        </is>
      </c>
      <c r="B18" s="12" t="inlineStr">
        <is>
          <t>2024-03-29</t>
        </is>
      </c>
      <c r="C18" s="27" t="n">
        <v>1245.32</v>
      </c>
      <c r="D18" s="11" t="n">
        <v>1.5461</v>
      </c>
      <c r="E18" s="28" t="n">
        <v>0.022309</v>
      </c>
      <c r="F18" s="11" t="n">
        <v>2.4651</v>
      </c>
      <c r="G18" s="11" t="n">
        <v>0.8931</v>
      </c>
      <c r="H18" s="28" t="n">
        <v>1.68</v>
      </c>
      <c r="I18" s="11" t="n">
        <v>12.46</v>
      </c>
      <c r="J18" s="28" t="n">
        <v>1.38</v>
      </c>
      <c r="K18" s="11" t="n">
        <v>4.21</v>
      </c>
      <c r="L18" s="28" t="n">
        <v>-0.0101</v>
      </c>
      <c r="M18" s="10" t="n">
        <v>-0.0825</v>
      </c>
      <c r="N18" s="28" t="n">
        <v>1.39</v>
      </c>
      <c r="O18" s="29" t="n">
        <v>12</v>
      </c>
      <c r="P18" s="11" t="n">
        <v>13.5</v>
      </c>
      <c r="Q18" s="11" t="n">
        <v>11</v>
      </c>
      <c r="R18" s="11" t="n">
        <v>10.8</v>
      </c>
      <c r="S18" s="28" t="n">
        <v>1.111219473837371</v>
      </c>
      <c r="T18" s="11" t="n">
        <v>1.8</v>
      </c>
      <c r="U18" s="28" t="n">
        <v>1.255886961070347</v>
      </c>
      <c r="V18" s="29" t="n">
        <v>2</v>
      </c>
      <c r="W18" s="28" t="n">
        <v>-0.6695695077539148</v>
      </c>
      <c r="X18" s="10" t="n">
        <v>0.260258</v>
      </c>
      <c r="Y18" s="12" t="inlineStr">
        <is>
          <t>pending</t>
        </is>
      </c>
      <c r="Z18" s="29" t="n">
        <v>3</v>
      </c>
      <c r="AA18" s="28" t="n">
        <v>-1.7549</v>
      </c>
      <c r="AB18" s="10" t="n">
        <v>-0.06270000000000001</v>
      </c>
    </row>
    <row r="19">
      <c r="A19" s="16" t="inlineStr">
        <is>
          <t>2024-Q3</t>
        </is>
      </c>
      <c r="B19" s="16" t="inlineStr">
        <is>
          <t>2024-06-28</t>
        </is>
      </c>
      <c r="C19" s="25" t="n">
        <v>1287.94</v>
      </c>
      <c r="D19" s="15" t="n">
        <v>2.0678</v>
      </c>
      <c r="E19" s="22" t="n">
        <v>0.0517</v>
      </c>
      <c r="F19" s="15" t="n">
        <v>2.7738</v>
      </c>
      <c r="G19" s="15" t="n">
        <v>0.6057</v>
      </c>
      <c r="H19" s="22" t="n">
        <v>0.5600000000000001</v>
      </c>
      <c r="I19" s="15" t="n">
        <v>12.46</v>
      </c>
      <c r="J19" s="22" t="n">
        <v>1.03</v>
      </c>
      <c r="K19" s="15" t="n">
        <v>4.34</v>
      </c>
      <c r="L19" s="22" t="n">
        <v>-0.919</v>
      </c>
      <c r="M19" s="14" t="n">
        <v>-0.3509</v>
      </c>
      <c r="N19" s="22" t="n">
        <v>2.26</v>
      </c>
      <c r="O19" s="26" t="n">
        <v>9</v>
      </c>
      <c r="P19" s="15" t="n">
        <v>13.5</v>
      </c>
      <c r="Q19" s="15" t="n">
        <v>11</v>
      </c>
      <c r="R19" s="15" t="n">
        <v>10.8</v>
      </c>
      <c r="S19" s="22" t="n">
        <v>1.295172486913837</v>
      </c>
      <c r="T19" s="15" t="n">
        <v>1.8</v>
      </c>
      <c r="U19" s="22" t="n">
        <v>1.466509066811024</v>
      </c>
      <c r="V19" s="26" t="n">
        <v>19</v>
      </c>
      <c r="W19" s="22" t="n">
        <v>-0.7854970100166639</v>
      </c>
      <c r="X19" s="14" t="n">
        <v>-0.070967</v>
      </c>
      <c r="Y19" s="16" t="inlineStr">
        <is>
          <t>pending</t>
        </is>
      </c>
      <c r="Z19" s="26" t="n">
        <v>3</v>
      </c>
      <c r="AA19" s="22" t="n">
        <v>-2.04</v>
      </c>
      <c r="AB19" s="14" t="n">
        <v>-0.0838</v>
      </c>
    </row>
    <row r="20">
      <c r="A20" s="12" t="inlineStr">
        <is>
          <t>2024-Q4</t>
        </is>
      </c>
      <c r="B20" s="12" t="inlineStr">
        <is>
          <t>2024-09-30</t>
        </is>
      </c>
      <c r="C20" s="27" t="n">
        <v>1266.78</v>
      </c>
      <c r="D20" s="11" t="n">
        <v>1.8875</v>
      </c>
      <c r="E20" s="28" t="n">
        <v>-0.044628</v>
      </c>
      <c r="F20" s="11" t="n">
        <v>2.8461</v>
      </c>
      <c r="G20" s="11" t="n">
        <v>0.8262</v>
      </c>
      <c r="H20" s="28" t="n">
        <v>-1.33</v>
      </c>
      <c r="I20" s="11" t="n">
        <v>12.46</v>
      </c>
      <c r="J20" s="28" t="n">
        <v>-1.09</v>
      </c>
      <c r="K20" s="11" t="n">
        <v>3.8</v>
      </c>
      <c r="L20" s="28" t="n">
        <v>-0.2976</v>
      </c>
      <c r="M20" s="10" t="n">
        <v>-0.1789</v>
      </c>
      <c r="N20" s="28" t="n">
        <v>-0.92</v>
      </c>
      <c r="O20" s="29" t="n">
        <v>13.3</v>
      </c>
      <c r="P20" s="11" t="n">
        <v>13.5</v>
      </c>
      <c r="Q20" s="11" t="n">
        <v>11</v>
      </c>
      <c r="R20" s="11" t="n">
        <v>10.8</v>
      </c>
      <c r="S20" s="28" t="n">
        <v>1.234545846826994</v>
      </c>
      <c r="T20" s="11" t="n">
        <v>1.8</v>
      </c>
      <c r="U20" s="28" t="n">
        <v>1.385418134890549</v>
      </c>
      <c r="V20" s="29" t="n">
        <v>2</v>
      </c>
      <c r="W20" s="28" t="n">
        <v>-0.7752907247895523</v>
      </c>
      <c r="X20" s="10" t="n">
        <v>-0.22597</v>
      </c>
      <c r="Y20" s="12" t="inlineStr">
        <is>
          <t>pending</t>
        </is>
      </c>
      <c r="Z20" s="29" t="n">
        <v>3</v>
      </c>
      <c r="AA20" s="28" t="n">
        <v>-0.3091</v>
      </c>
      <c r="AB20" s="10" t="n">
        <v>-0.0056</v>
      </c>
    </row>
    <row r="21">
      <c r="A21" s="16" t="inlineStr">
        <is>
          <t>2025-Q1</t>
        </is>
      </c>
      <c r="B21" s="16" t="inlineStr">
        <is>
          <t>2024-12-31</t>
        </is>
      </c>
      <c r="C21" s="25" t="n">
        <v>1306.86</v>
      </c>
      <c r="D21" s="15" t="n">
        <v>2.0566</v>
      </c>
      <c r="E21" s="22" t="n">
        <v>-0.00398</v>
      </c>
      <c r="F21" s="15" t="n">
        <v>2.8181</v>
      </c>
      <c r="G21" s="15" t="n">
        <v>0.6599</v>
      </c>
      <c r="H21" s="22" t="n">
        <v>0.9399999999999999</v>
      </c>
      <c r="I21" s="15" t="n">
        <v>11.97</v>
      </c>
      <c r="J21" s="22" t="n">
        <v>1.64</v>
      </c>
      <c r="K21" s="15" t="n">
        <v>4.57</v>
      </c>
      <c r="L21" s="22" t="n">
        <v>-0.8062</v>
      </c>
      <c r="M21" s="14" t="n">
        <v>-0.3273</v>
      </c>
      <c r="N21" s="22" t="n">
        <v>1.59</v>
      </c>
      <c r="O21" s="26" t="n">
        <v>21.6</v>
      </c>
      <c r="P21" s="15" t="n">
        <v>13.5</v>
      </c>
      <c r="Q21" s="15" t="n">
        <v>11</v>
      </c>
      <c r="R21" s="15" t="n">
        <v>10.8</v>
      </c>
      <c r="S21" s="22" t="n">
        <v>1.398724223280527</v>
      </c>
      <c r="T21" s="15" t="n">
        <v>1.8</v>
      </c>
      <c r="U21" s="22" t="n">
        <v>1.568734846260315</v>
      </c>
      <c r="V21" s="26" t="n">
        <v>7</v>
      </c>
      <c r="W21" s="22" t="n">
        <v>-0.8231059070010005</v>
      </c>
      <c r="X21" s="14" t="n">
        <v>-0.12025</v>
      </c>
      <c r="Y21" s="16" t="inlineStr">
        <is>
          <t>pending</t>
        </is>
      </c>
      <c r="Z21" s="26" t="n">
        <v>3</v>
      </c>
      <c r="AA21" s="22" t="n">
        <v>-0.1879</v>
      </c>
      <c r="AB21" s="14" t="n">
        <v>0.0002</v>
      </c>
    </row>
    <row r="22">
      <c r="A22" s="12" t="inlineStr">
        <is>
          <t>2025-Q2</t>
        </is>
      </c>
      <c r="B22" s="12" t="inlineStr">
        <is>
          <t>2025-03-31</t>
        </is>
      </c>
      <c r="C22" s="27" t="n">
        <v>1376.07</v>
      </c>
      <c r="D22" s="11" t="n">
        <v>2.0859</v>
      </c>
      <c r="E22" s="28" t="n">
        <v>-0.001884</v>
      </c>
      <c r="F22" s="11" t="n">
        <v>2.8775</v>
      </c>
      <c r="G22" s="11" t="n">
        <v>0.6870000000000001</v>
      </c>
      <c r="H22" s="28" t="n">
        <v>0.92</v>
      </c>
      <c r="I22" s="11" t="n">
        <v>11.97</v>
      </c>
      <c r="J22" s="28" t="n">
        <v>-1.19</v>
      </c>
      <c r="K22" s="11" t="n">
        <v>4.25</v>
      </c>
      <c r="L22" s="28" t="n">
        <v>-0.8028999999999999</v>
      </c>
      <c r="M22" s="10" t="n">
        <v>-0.3338</v>
      </c>
      <c r="N22" s="28" t="n">
        <v>-0.8</v>
      </c>
      <c r="O22" s="29" t="n">
        <v>13.1</v>
      </c>
      <c r="P22" s="11" t="n">
        <v>13.5</v>
      </c>
      <c r="Q22" s="11" t="n">
        <v>11</v>
      </c>
      <c r="R22" s="11" t="n">
        <v>10.8</v>
      </c>
      <c r="S22" s="28" t="n">
        <v>1.447042625406603</v>
      </c>
      <c r="T22" s="11" t="n">
        <v>1.8</v>
      </c>
      <c r="U22" s="28" t="n">
        <v>1.621584721505385</v>
      </c>
      <c r="V22" s="29" t="n">
        <v>10</v>
      </c>
      <c r="W22" s="28" t="n">
        <v>-0.8493534471665757</v>
      </c>
      <c r="X22" s="10" t="n">
        <v>0.19508</v>
      </c>
      <c r="Y22" s="12" t="inlineStr">
        <is>
          <t>pending</t>
        </is>
      </c>
      <c r="Z22" s="29" t="n">
        <v>3</v>
      </c>
      <c r="AA22" s="28" t="n">
        <v>-0.2756</v>
      </c>
      <c r="AB22" s="10" t="n">
        <v>-0.0043</v>
      </c>
    </row>
    <row r="23">
      <c r="A23" s="16" t="inlineStr">
        <is>
          <t>2025-Q3</t>
        </is>
      </c>
      <c r="B23" s="16" t="inlineStr">
        <is>
          <t>2025-06-30</t>
        </is>
      </c>
      <c r="C23" s="25" t="n">
        <v>1661.7</v>
      </c>
      <c r="D23" s="15" t="n">
        <v>2.4271</v>
      </c>
      <c r="E23" s="22" t="n">
        <v>0.08709500000000001</v>
      </c>
      <c r="F23" s="15" t="n">
        <v>2.9562</v>
      </c>
      <c r="G23" s="15" t="n">
        <v>0.4747</v>
      </c>
      <c r="H23" s="22" t="n">
        <v>1.1</v>
      </c>
      <c r="I23" s="15" t="n">
        <v>11.97</v>
      </c>
      <c r="J23" s="22" t="n">
        <v>-2.04</v>
      </c>
      <c r="K23" s="15" t="n">
        <v>4.23</v>
      </c>
      <c r="L23" s="22" t="n">
        <v>-0.2736</v>
      </c>
      <c r="M23" s="14" t="n">
        <v>-0.1907</v>
      </c>
      <c r="N23" s="22" t="n">
        <v>0.11</v>
      </c>
      <c r="O23" s="26" t="n">
        <v>27</v>
      </c>
      <c r="P23" s="15" t="n">
        <v>13.5</v>
      </c>
      <c r="Q23" s="15" t="n">
        <v>11</v>
      </c>
      <c r="R23" s="15" t="n">
        <v>10.8</v>
      </c>
      <c r="S23" s="22" t="n">
        <v>1.489626904686737</v>
      </c>
      <c r="T23" s="15" t="n">
        <v>1.8</v>
      </c>
      <c r="U23" s="22" t="n">
        <v>1.665186805948611</v>
      </c>
      <c r="V23" s="26" t="n">
        <v>0</v>
      </c>
      <c r="W23" s="22" t="n">
        <v>-0.8714508975744635</v>
      </c>
      <c r="X23" s="14" t="n">
        <v>0.436843</v>
      </c>
      <c r="Y23" s="16" t="inlineStr">
        <is>
          <t>pending</t>
        </is>
      </c>
      <c r="Z23" s="26" t="n">
        <v>3</v>
      </c>
      <c r="AA23" s="22" t="n">
        <v>-0.1839</v>
      </c>
      <c r="AB23" s="14" t="n">
        <v>-0.0002</v>
      </c>
    </row>
    <row r="24">
      <c r="A24" s="12" t="inlineStr">
        <is>
          <t>2025-Q4</t>
        </is>
      </c>
      <c r="B24" s="12" t="inlineStr">
        <is>
          <t>2025-09-30</t>
        </is>
      </c>
      <c r="C24" s="27" t="n">
        <v>1784.49</v>
      </c>
      <c r="D24" s="11" t="n">
        <v>2.8134</v>
      </c>
      <c r="E24" s="28" t="n">
        <v>0.006067</v>
      </c>
      <c r="F24" s="11" t="n">
        <v>3.4571</v>
      </c>
      <c r="G24" s="11" t="n">
        <v>0.5566</v>
      </c>
      <c r="H24" s="28" t="n">
        <v>1.4</v>
      </c>
      <c r="I24" s="11" t="n">
        <v>11.97</v>
      </c>
      <c r="J24" s="28" t="n">
        <v>-0.44</v>
      </c>
      <c r="K24" s="11" t="n">
        <v>4.15</v>
      </c>
      <c r="L24" s="28" t="n">
        <v>-1.65</v>
      </c>
      <c r="M24" s="10" t="n">
        <v>-0.5756</v>
      </c>
      <c r="N24" s="28" t="n">
        <v>1.03</v>
      </c>
      <c r="O24" s="29" t="n">
        <v>11.4</v>
      </c>
      <c r="P24" s="11" t="n">
        <v>13.5</v>
      </c>
      <c r="Q24" s="11" t="n">
        <v>11</v>
      </c>
      <c r="R24" s="11" t="n">
        <v>10.8</v>
      </c>
      <c r="S24" s="28" t="n">
        <v>2.233268787803599</v>
      </c>
      <c r="T24" s="11" t="n">
        <v>1.8</v>
      </c>
      <c r="U24" s="28" t="n">
        <v>2.456627904712017</v>
      </c>
      <c r="V24" s="29" t="n">
        <v>9</v>
      </c>
      <c r="W24" s="28" t="n">
        <v>-1.197088543881617</v>
      </c>
      <c r="X24" s="10" t="n">
        <v>0.657237</v>
      </c>
      <c r="Y24" s="12" t="inlineStr">
        <is>
          <t>pending</t>
        </is>
      </c>
      <c r="Z24" s="29" t="n">
        <v>3</v>
      </c>
      <c r="AA24" s="28" t="n">
        <v>-0.4193</v>
      </c>
      <c r="AB24" s="10" t="n">
        <v>-0.0115</v>
      </c>
    </row>
    <row r="25">
      <c r="A25" s="16" t="inlineStr">
        <is>
          <t>2026-Q1</t>
        </is>
      </c>
      <c r="B25" s="16" t="inlineStr">
        <is>
          <t>2025-12-31</t>
        </is>
      </c>
      <c r="C25" s="25" t="n">
        <v>1674.49</v>
      </c>
      <c r="D25" s="15" t="n">
        <v>3.041</v>
      </c>
      <c r="E25" s="22" t="n">
        <v>0.027362</v>
      </c>
      <c r="F25" s="15" t="n">
        <v>3.8573</v>
      </c>
      <c r="G25" s="15" t="n">
        <v>0.7896</v>
      </c>
      <c r="H25" s="22" t="n">
        <v>-2.83</v>
      </c>
      <c r="I25" s="15" t="n">
        <v>14.98</v>
      </c>
      <c r="J25" s="22" t="n">
        <v>-1.23</v>
      </c>
      <c r="K25" s="15" t="n">
        <v>4.16</v>
      </c>
      <c r="L25" s="22" t="n">
        <v>-0.4454</v>
      </c>
      <c r="M25" s="14" t="n">
        <v>-0.2602</v>
      </c>
      <c r="N25" s="22" t="n">
        <v>1.01</v>
      </c>
      <c r="O25" s="26" t="n">
        <v>14.1</v>
      </c>
      <c r="P25" s="15" t="n">
        <v>13.5</v>
      </c>
      <c r="Q25" s="15" t="n">
        <v>11</v>
      </c>
      <c r="R25" s="15" t="n">
        <v>10.8</v>
      </c>
      <c r="S25" s="22" t="n">
        <v>2.535066428138991</v>
      </c>
      <c r="T25" s="15" t="n">
        <v>1.8</v>
      </c>
      <c r="U25" s="22" t="n">
        <v>2.416033593503357</v>
      </c>
      <c r="V25" s="26" t="n">
        <v>0</v>
      </c>
      <c r="W25" s="22" t="n">
        <v>-1.365312631189681</v>
      </c>
      <c r="X25" s="14" t="n">
        <v>-0.384448</v>
      </c>
      <c r="Y25" s="16" t="inlineStr">
        <is>
          <t>pending</t>
        </is>
      </c>
      <c r="Z25" s="26" t="n">
        <v>3</v>
      </c>
      <c r="AA25" s="22" t="n">
        <v>-0.0968</v>
      </c>
      <c r="AB25" s="14" t="n">
        <v>0.0032</v>
      </c>
    </row>
    <row r="26">
      <c r="A26" s="12" t="inlineStr">
        <is>
          <t>2026-Q2</t>
        </is>
      </c>
      <c r="B26" s="12" t="inlineStr">
        <is>
          <t>2026-03-31</t>
        </is>
      </c>
      <c r="C26" s="27" t="n">
        <v>1860.01</v>
      </c>
      <c r="D26" s="11" t="n">
        <v>3.52</v>
      </c>
      <c r="E26" s="28" t="n">
        <v>0.084721</v>
      </c>
      <c r="F26" s="11" t="n">
        <v>4.0281</v>
      </c>
      <c r="G26" s="11" t="n">
        <v>0.4519</v>
      </c>
      <c r="H26" s="28" t="n">
        <v>1.28</v>
      </c>
      <c r="I26" s="11" t="n">
        <v>14.98</v>
      </c>
      <c r="J26" s="28" t="n">
        <v>1.34</v>
      </c>
      <c r="K26" s="11" t="n">
        <v>4.31</v>
      </c>
      <c r="L26" s="28" t="n">
        <v>-0.2095</v>
      </c>
      <c r="M26" s="10" t="n">
        <v>-0.196</v>
      </c>
      <c r="N26" s="28" t="n">
        <v>1.39</v>
      </c>
      <c r="O26" s="29" t="n">
        <v>52.8</v>
      </c>
      <c r="P26" s="11" t="n">
        <v>13.5</v>
      </c>
      <c r="Q26" s="11" t="n">
        <v>11</v>
      </c>
      <c r="R26" s="11" t="n">
        <v>10.8</v>
      </c>
      <c r="S26" s="28" t="n">
        <v>2.164624844742904</v>
      </c>
      <c r="T26" s="11" t="n">
        <v>1.8</v>
      </c>
      <c r="U26" s="28" t="n">
        <v>1.971043250704673</v>
      </c>
      <c r="V26" s="29" t="n">
        <v>53</v>
      </c>
      <c r="W26" s="28" t="n">
        <v>-1.868489179254161</v>
      </c>
      <c r="X26" s="10" t="n">
        <v>0.17381</v>
      </c>
      <c r="Y26" s="12" t="inlineStr">
        <is>
          <t>pending</t>
        </is>
      </c>
      <c r="Z26" s="29" t="n">
        <v>3</v>
      </c>
      <c r="AA26" s="28" t="n">
        <v>-0.5466</v>
      </c>
      <c r="AB26" s="10" t="n">
        <v>-0.0176</v>
      </c>
    </row>
    <row r="27">
      <c r="A27" s="16" t="inlineStr">
        <is>
          <t>2026-Q3</t>
        </is>
      </c>
      <c r="B27" s="16" t="inlineStr">
        <is>
          <t>2026-06-30</t>
        </is>
      </c>
      <c r="C27" s="25" t="n">
        <v>1780.68</v>
      </c>
      <c r="D27" s="15" t="n">
        <v>3.7228</v>
      </c>
      <c r="E27" s="22" t="n">
        <v>0.003593</v>
      </c>
      <c r="F27" s="15" t="n">
        <v>4.3985</v>
      </c>
      <c r="G27" s="15" t="n">
        <v>0.5591</v>
      </c>
      <c r="H27" s="22" t="n">
        <v>-2.12</v>
      </c>
      <c r="I27" s="15" t="n">
        <v>14.98</v>
      </c>
      <c r="J27" s="22" t="n">
        <v>1.91</v>
      </c>
      <c r="K27" s="15" t="n">
        <v>4.42</v>
      </c>
      <c r="L27" s="22" t="n">
        <v>-0.8451</v>
      </c>
      <c r="M27" s="14" t="n">
        <v>-0.3737</v>
      </c>
      <c r="N27" s="22" t="n">
        <v>1.89</v>
      </c>
      <c r="O27" s="26" t="n">
        <v>30.3</v>
      </c>
      <c r="P27" s="15" t="n">
        <v>13.5</v>
      </c>
      <c r="Q27" s="15" t="n">
        <v>11</v>
      </c>
      <c r="R27" s="15" t="n">
        <v>10.8</v>
      </c>
      <c r="S27" s="22" t="n">
        <v>1.834821895419637</v>
      </c>
      <c r="T27" s="15" t="n">
        <v>1.8</v>
      </c>
      <c r="U27" s="22" t="n">
        <v>1.699113859669101</v>
      </c>
      <c r="V27" s="26" t="n">
        <v>16</v>
      </c>
      <c r="W27" s="22" t="n">
        <v>-1.891629452375064</v>
      </c>
      <c r="X27" s="14" t="n">
        <v>-0.254737</v>
      </c>
      <c r="Y27" s="16" t="inlineStr">
        <is>
          <t>pending</t>
        </is>
      </c>
      <c r="Z27" s="26" t="n">
        <v>3</v>
      </c>
      <c r="AA27" s="22" t="n">
        <v>-0.1918</v>
      </c>
      <c r="AB27" s="14" t="n">
        <v>-0.002</v>
      </c>
    </row>
    <row r="28">
      <c r="A28" s="12" t="inlineStr">
        <is>
          <t>2026-Q4</t>
        </is>
      </c>
      <c r="B28" s="12" t="inlineStr">
        <is>
          <t>2026-09-25</t>
        </is>
      </c>
      <c r="C28" s="27" t="n"/>
      <c r="D28" s="11" t="n">
        <v>3.8615</v>
      </c>
      <c r="E28" s="28" t="n">
        <v>0.004357</v>
      </c>
      <c r="F28" s="11" t="n">
        <v>4.4753</v>
      </c>
      <c r="G28" s="11" t="n">
        <v>0.5289</v>
      </c>
      <c r="H28" s="28" t="n">
        <v>-1.27</v>
      </c>
      <c r="I28" s="11" t="n">
        <v>14.98</v>
      </c>
      <c r="J28" s="28" t="n">
        <v>1.05</v>
      </c>
      <c r="K28" s="11" t="n">
        <v>5.18</v>
      </c>
      <c r="L28" s="28" t="n">
        <v>-0.0525</v>
      </c>
      <c r="M28" s="10" t="n">
        <v>-0.1609</v>
      </c>
      <c r="N28" s="28" t="n">
        <v>-0.16</v>
      </c>
      <c r="O28" s="29" t="n">
        <v>43.8</v>
      </c>
      <c r="P28" s="11" t="n">
        <v>12.46</v>
      </c>
      <c r="Q28" s="11" t="n">
        <v>10.25</v>
      </c>
      <c r="R28" s="11" t="n">
        <v>10.03</v>
      </c>
      <c r="S28" s="28" t="n">
        <v>0.8055707548717673</v>
      </c>
      <c r="T28" s="11" t="n">
        <v>1.65</v>
      </c>
      <c r="U28" s="28" t="n">
        <v>0.6810894520369312</v>
      </c>
      <c r="V28" s="29" t="n">
        <v>20</v>
      </c>
      <c r="W28" s="28" t="n">
        <v>-1.250996235356308</v>
      </c>
      <c r="X28" s="10" t="n">
        <v>-0.119329</v>
      </c>
      <c r="Y28" s="12" t="inlineStr">
        <is>
          <t>confirmed</t>
        </is>
      </c>
      <c r="Z28" s="29" t="n">
        <v>0</v>
      </c>
      <c r="AA28" s="28" t="n">
        <v>-0.1187</v>
      </c>
      <c r="AB28" s="10" t="n">
        <v>0.0011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8"/>
  <sheetViews>
    <sheetView showGridLines="1"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8" customWidth="1" min="3" max="3"/>
    <col width="17" customWidth="1" min="4" max="4"/>
    <col width="19" customWidth="1" min="5" max="5"/>
    <col width="18" customWidth="1" min="6" max="6"/>
    <col width="17" customWidth="1" min="7" max="7"/>
    <col width="13" customWidth="1" min="8" max="8"/>
    <col width="14" customWidth="1" min="9" max="9"/>
    <col width="13" customWidth="1" min="10" max="10"/>
    <col width="18" customWidth="1" min="11" max="11"/>
    <col width="18" customWidth="1" min="12" max="12"/>
    <col width="14" customWidth="1" min="13" max="13"/>
    <col width="14" customWidth="1" min="14" max="14"/>
    <col width="20" customWidth="1" min="15" max="15"/>
    <col width="14" customWidth="1" min="16" max="16"/>
    <col width="19" customWidth="1" min="17" max="17"/>
    <col width="19" customWidth="1" min="18" max="18"/>
    <col width="19" customWidth="1" min="19" max="19"/>
    <col width="18" customWidth="1" min="20" max="20"/>
    <col width="20" customWidth="1" min="21" max="21"/>
    <col width="13" customWidth="1" min="22" max="22"/>
    <col width="17" customWidth="1" min="23" max="23"/>
  </cols>
  <sheetData>
    <row r="1">
      <c r="A1" s="1" t="inlineStr">
        <is>
          <t>VN-INDEX QUANTITATIVE MODEL — FACTOR SUB-SCORES (2021-2026)</t>
        </is>
      </c>
    </row>
    <row r="2">
      <c r="A2" s="2" t="inlineStr">
        <is>
          <t>All 0-100 normalized sub-scores computed dynamically via EXCEL FORMULAS from '02_Market_Inputs' and '01_Model_Config'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VN1Y Rate Score</t>
        </is>
      </c>
      <c r="D4" s="8" t="inlineStr">
        <is>
          <t>IR Trend Score</t>
        </is>
      </c>
      <c r="E4" s="8" t="inlineStr">
        <is>
          <t>USD/VND FX Score</t>
        </is>
      </c>
      <c r="F4" s="8" t="inlineStr">
        <is>
          <t>M2 Growth Score</t>
        </is>
      </c>
      <c r="G4" s="8" t="inlineStr">
        <is>
          <t>VN Bonds Score</t>
        </is>
      </c>
      <c r="H4" s="8" t="inlineStr">
        <is>
          <t>DXY Score</t>
        </is>
      </c>
      <c r="I4" s="8" t="inlineStr">
        <is>
          <t>US10Y Score</t>
        </is>
      </c>
      <c r="J4" s="8" t="inlineStr">
        <is>
          <t>NFF Score</t>
        </is>
      </c>
      <c r="K4" s="8" t="inlineStr">
        <is>
          <t>JPY Carry Score</t>
        </is>
      </c>
      <c r="L4" s="8" t="inlineStr">
        <is>
          <t>Oil Shock Score</t>
        </is>
      </c>
      <c r="M4" s="8" t="inlineStr">
        <is>
          <t>P/E Z Score</t>
        </is>
      </c>
      <c r="N4" s="8" t="inlineStr">
        <is>
          <t>P/B Z Score</t>
        </is>
      </c>
      <c r="O4" s="8" t="inlineStr">
        <is>
          <t>Margin Risk Score</t>
        </is>
      </c>
      <c r="P4" s="8" t="inlineStr">
        <is>
          <t>EYG Z Score</t>
        </is>
      </c>
      <c r="Q4" s="8" t="inlineStr">
        <is>
          <t>MLR Signal Score</t>
        </is>
      </c>
      <c r="R4" s="8" t="inlineStr">
        <is>
          <t>VAR Signal Score</t>
        </is>
      </c>
      <c r="S4" s="8" t="inlineStr">
        <is>
          <t>ML Quality Score</t>
        </is>
      </c>
      <c r="T4" s="8" t="inlineStr">
        <is>
          <t>ML Signal Score</t>
        </is>
      </c>
      <c r="U4" s="8" t="inlineStr">
        <is>
          <t>FTSE Status Score</t>
        </is>
      </c>
      <c r="V4" s="8" t="inlineStr">
        <is>
          <t>ADTV Score</t>
        </is>
      </c>
      <c r="W4" s="8" t="inlineStr">
        <is>
          <t>ETF Flow Score</t>
        </is>
      </c>
    </row>
    <row r="5">
      <c r="A5" s="16">
        <f>'02_Market_Inputs'!A5</f>
        <v/>
      </c>
      <c r="B5" s="16">
        <f>'02_Market_Inputs'!B5</f>
        <v/>
      </c>
      <c r="C5" s="15">
        <f>IF(ISBLANK('02_Market_Inputs'!D5), 50, MIN(100, MAX(0, 100 - ('02_Market_Inputs'!D5 - 1.0) * 14.0)))</f>
        <v/>
      </c>
      <c r="D5" s="15">
        <f>IF(ISBLANK('02_Market_Inputs'!E5), 50, MIN(100, MAX(0, 50 - '02_Market_Inputs'!E5 * 100)))</f>
        <v/>
      </c>
      <c r="E5" s="15">
        <f>IF(ISBLANK('02_Market_Inputs'!H5), 50, MIN(100, MAX(0, 50 - '02_Market_Inputs'!H5 * 15)))</f>
        <v/>
      </c>
      <c r="F5" s="15">
        <f>IF(ISBLANK('02_Market_Inputs'!I5), 50, MIN(100, MAX(0, 80 - ABS('02_Market_Inputs'!I5 - 12) * 4)))</f>
        <v/>
      </c>
      <c r="G5" s="15">
        <f>IF(ISBLANK('02_Market_Inputs'!F5), 50, (MIN(100, MAX(0, 100 - ('02_Market_Inputs'!F5 - 2.5) * 28.5)) + MIN(100, MAX(0, ('02_Market_Inputs'!G5 + 0.2) * 58))) / 2)</f>
        <v/>
      </c>
      <c r="H5" s="15">
        <f>IF(ISBLANK('02_Market_Inputs'!J5), 50, MIN(100, MAX(0, 50 - '02_Market_Inputs'!J5 * 20)))</f>
        <v/>
      </c>
      <c r="I5" s="15">
        <f>IF(ISBLANK('02_Market_Inputs'!K5), 50, MIN(100, MAX(0, 100 - '02_Market_Inputs'!K5 * 20)))</f>
        <v/>
      </c>
      <c r="J5" s="15">
        <f>IF(ISBLANK('02_Market_Inputs'!L5), 50, MIN(100, MAX(0, 50 + '02_Market_Inputs'!L5 * 15)))</f>
        <v/>
      </c>
      <c r="K5" s="15">
        <f>IF(ISBLANK('02_Market_Inputs'!N5), 50, MIN(100, MAX(0, 50 + '02_Market_Inputs'!N5 * 15)))</f>
        <v/>
      </c>
      <c r="L5" s="15">
        <f>IF(OR(ISBLANK('02_Market_Inputs'!O5), '02_Market_Inputs'!O5&lt;=0), 50, MIN(100, MAX(0, 100 - '02_Market_Inputs'!O5)))</f>
        <v/>
      </c>
      <c r="M5" s="15">
        <f>IF(ISBLANK('02_Market_Inputs'!S5), 50, MIN(100, MAX(0, 50 - '02_Market_Inputs'!S5 * 25)))</f>
        <v/>
      </c>
      <c r="N5" s="15">
        <f>IF(ISBLANK('02_Market_Inputs'!U5), 50, MIN(100, MAX(0, 50 - '02_Market_Inputs'!U5 * 25)))</f>
        <v/>
      </c>
      <c r="O5" s="15">
        <f>IF(ISBLANK('02_Market_Inputs'!V5), 50, MIN(100, MAX(0, 100 - '02_Market_Inputs'!V5)))</f>
        <v/>
      </c>
      <c r="P5" s="15">
        <f>IF(ISBLANK('02_Market_Inputs'!W5), 50, MIN(100, MAX(0, 50 + '02_Market_Inputs'!W5 * 25)))</f>
        <v/>
      </c>
      <c r="Q5" s="15">
        <f>IF(ISBLANK('06_MLR_Regression'!F5), 50, MIN(100, MAX(0, 50 + '06_MLR_Regression'!F5 * '01_Model_Config'!$B$32)))</f>
        <v/>
      </c>
      <c r="R5" s="15">
        <f>IF(ISBLANK('07_VAR_Granger'!J5), 50, MIN(100, MAX(0, 50 + '07_VAR_Granger'!J5 * '01_Model_Config'!$B$33)))</f>
        <v/>
      </c>
      <c r="S5" s="15">
        <f>'08_ML_Validation'!J5</f>
        <v/>
      </c>
      <c r="T5" s="15">
        <f>'08_ML_Validation'!K5</f>
        <v/>
      </c>
      <c r="U5" s="15">
        <f>IF('02_Market_Inputs'!Y5="completed", 85, IF('02_Market_Inputs'!Y5="confirmed", 75, IF('02_Market_Inputs'!Y5="pending", 55, 50))) + IF('02_Market_Inputs'!Z5&lt;=1, 20, IF('02_Market_Inputs'!Z5&lt;=2, 12, IF('02_Market_Inputs'!Z5&lt;=3, 6, 0)))</f>
        <v/>
      </c>
      <c r="V5" s="15">
        <f>IF(ISBLANK('02_Market_Inputs'!X5), 50, MIN(100, MAX(0, 50 + '02_Market_Inputs'!X5 * 100)))</f>
        <v/>
      </c>
      <c r="W5" s="15">
        <f>IF(ISBLANK('02_Market_Inputs'!AA5), 50, MIN(100, MAX(0, 50 + '02_Market_Inputs'!AA5 * 15)))</f>
        <v/>
      </c>
    </row>
    <row r="6">
      <c r="A6" s="12">
        <f>'02_Market_Inputs'!A6</f>
        <v/>
      </c>
      <c r="B6" s="12">
        <f>'02_Market_Inputs'!B6</f>
        <v/>
      </c>
      <c r="C6" s="11">
        <f>IF(ISBLANK('02_Market_Inputs'!D6), 50, MIN(100, MAX(0, 100 - ('02_Market_Inputs'!D6 - 1.0) * 14.0)))</f>
        <v/>
      </c>
      <c r="D6" s="11">
        <f>IF(ISBLANK('02_Market_Inputs'!E6), 50, MIN(100, MAX(0, 50 - '02_Market_Inputs'!E6 * 100)))</f>
        <v/>
      </c>
      <c r="E6" s="11">
        <f>IF(ISBLANK('02_Market_Inputs'!H6), 50, MIN(100, MAX(0, 50 - '02_Market_Inputs'!H6 * 15)))</f>
        <v/>
      </c>
      <c r="F6" s="11">
        <f>IF(ISBLANK('02_Market_Inputs'!I6), 50, MIN(100, MAX(0, 80 - ABS('02_Market_Inputs'!I6 - 12) * 4)))</f>
        <v/>
      </c>
      <c r="G6" s="11">
        <f>IF(ISBLANK('02_Market_Inputs'!F6), 50, (MIN(100, MAX(0, 100 - ('02_Market_Inputs'!F6 - 2.5) * 28.5)) + MIN(100, MAX(0, ('02_Market_Inputs'!G6 + 0.2) * 58))) / 2)</f>
        <v/>
      </c>
      <c r="H6" s="11">
        <f>IF(ISBLANK('02_Market_Inputs'!J6), 50, MIN(100, MAX(0, 50 - '02_Market_Inputs'!J6 * 20)))</f>
        <v/>
      </c>
      <c r="I6" s="11">
        <f>IF(ISBLANK('02_Market_Inputs'!K6), 50, MIN(100, MAX(0, 100 - '02_Market_Inputs'!K6 * 20)))</f>
        <v/>
      </c>
      <c r="J6" s="11">
        <f>IF(ISBLANK('02_Market_Inputs'!L6), 50, MIN(100, MAX(0, 50 + '02_Market_Inputs'!L6 * 15)))</f>
        <v/>
      </c>
      <c r="K6" s="11">
        <f>IF(ISBLANK('02_Market_Inputs'!N6), 50, MIN(100, MAX(0, 50 + '02_Market_Inputs'!N6 * 15)))</f>
        <v/>
      </c>
      <c r="L6" s="11">
        <f>IF(OR(ISBLANK('02_Market_Inputs'!O6), '02_Market_Inputs'!O6&lt;=0), 50, MIN(100, MAX(0, 100 - '02_Market_Inputs'!O6)))</f>
        <v/>
      </c>
      <c r="M6" s="11">
        <f>IF(ISBLANK('02_Market_Inputs'!S6), 50, MIN(100, MAX(0, 50 - '02_Market_Inputs'!S6 * 25)))</f>
        <v/>
      </c>
      <c r="N6" s="11">
        <f>IF(ISBLANK('02_Market_Inputs'!U6), 50, MIN(100, MAX(0, 50 - '02_Market_Inputs'!U6 * 25)))</f>
        <v/>
      </c>
      <c r="O6" s="11">
        <f>IF(ISBLANK('02_Market_Inputs'!V6), 50, MIN(100, MAX(0, 100 - '02_Market_Inputs'!V6)))</f>
        <v/>
      </c>
      <c r="P6" s="11">
        <f>IF(ISBLANK('02_Market_Inputs'!W6), 50, MIN(100, MAX(0, 50 + '02_Market_Inputs'!W6 * 25)))</f>
        <v/>
      </c>
      <c r="Q6" s="11">
        <f>IF(ISBLANK('06_MLR_Regression'!F6), 50, MIN(100, MAX(0, 50 + '06_MLR_Regression'!F6 * '01_Model_Config'!$B$32)))</f>
        <v/>
      </c>
      <c r="R6" s="11">
        <f>IF(ISBLANK('07_VAR_Granger'!J6), 50, MIN(100, MAX(0, 50 + '07_VAR_Granger'!J6 * '01_Model_Config'!$B$33)))</f>
        <v/>
      </c>
      <c r="S6" s="11">
        <f>'08_ML_Validation'!J6</f>
        <v/>
      </c>
      <c r="T6" s="11">
        <f>'08_ML_Validation'!K6</f>
        <v/>
      </c>
      <c r="U6" s="11">
        <f>IF('02_Market_Inputs'!Y6="completed", 85, IF('02_Market_Inputs'!Y6="confirmed", 75, IF('02_Market_Inputs'!Y6="pending", 55, 50))) + IF('02_Market_Inputs'!Z6&lt;=1, 20, IF('02_Market_Inputs'!Z6&lt;=2, 12, IF('02_Market_Inputs'!Z6&lt;=3, 6, 0)))</f>
        <v/>
      </c>
      <c r="V6" s="11">
        <f>IF(ISBLANK('02_Market_Inputs'!X6), 50, MIN(100, MAX(0, 50 + '02_Market_Inputs'!X6 * 100)))</f>
        <v/>
      </c>
      <c r="W6" s="11">
        <f>IF(ISBLANK('02_Market_Inputs'!AA6), 50, MIN(100, MAX(0, 50 + '02_Market_Inputs'!AA6 * 15)))</f>
        <v/>
      </c>
    </row>
    <row r="7">
      <c r="A7" s="16">
        <f>'02_Market_Inputs'!A7</f>
        <v/>
      </c>
      <c r="B7" s="16">
        <f>'02_Market_Inputs'!B7</f>
        <v/>
      </c>
      <c r="C7" s="15">
        <f>IF(ISBLANK('02_Market_Inputs'!D7), 50, MIN(100, MAX(0, 100 - ('02_Market_Inputs'!D7 - 1.0) * 14.0)))</f>
        <v/>
      </c>
      <c r="D7" s="15">
        <f>IF(ISBLANK('02_Market_Inputs'!E7), 50, MIN(100, MAX(0, 50 - '02_Market_Inputs'!E7 * 100)))</f>
        <v/>
      </c>
      <c r="E7" s="15">
        <f>IF(ISBLANK('02_Market_Inputs'!H7), 50, MIN(100, MAX(0, 50 - '02_Market_Inputs'!H7 * 15)))</f>
        <v/>
      </c>
      <c r="F7" s="15">
        <f>IF(ISBLANK('02_Market_Inputs'!I7), 50, MIN(100, MAX(0, 80 - ABS('02_Market_Inputs'!I7 - 12) * 4)))</f>
        <v/>
      </c>
      <c r="G7" s="15">
        <f>IF(ISBLANK('02_Market_Inputs'!F7), 50, (MIN(100, MAX(0, 100 - ('02_Market_Inputs'!F7 - 2.5) * 28.5)) + MIN(100, MAX(0, ('02_Market_Inputs'!G7 + 0.2) * 58))) / 2)</f>
        <v/>
      </c>
      <c r="H7" s="15">
        <f>IF(ISBLANK('02_Market_Inputs'!J7), 50, MIN(100, MAX(0, 50 - '02_Market_Inputs'!J7 * 20)))</f>
        <v/>
      </c>
      <c r="I7" s="15">
        <f>IF(ISBLANK('02_Market_Inputs'!K7), 50, MIN(100, MAX(0, 100 - '02_Market_Inputs'!K7 * 20)))</f>
        <v/>
      </c>
      <c r="J7" s="15">
        <f>IF(ISBLANK('02_Market_Inputs'!L7), 50, MIN(100, MAX(0, 50 + '02_Market_Inputs'!L7 * 15)))</f>
        <v/>
      </c>
      <c r="K7" s="15">
        <f>IF(ISBLANK('02_Market_Inputs'!N7), 50, MIN(100, MAX(0, 50 + '02_Market_Inputs'!N7 * 15)))</f>
        <v/>
      </c>
      <c r="L7" s="15">
        <f>IF(OR(ISBLANK('02_Market_Inputs'!O7), '02_Market_Inputs'!O7&lt;=0), 50, MIN(100, MAX(0, 100 - '02_Market_Inputs'!O7)))</f>
        <v/>
      </c>
      <c r="M7" s="15">
        <f>IF(ISBLANK('02_Market_Inputs'!S7), 50, MIN(100, MAX(0, 50 - '02_Market_Inputs'!S7 * 25)))</f>
        <v/>
      </c>
      <c r="N7" s="15">
        <f>IF(ISBLANK('02_Market_Inputs'!U7), 50, MIN(100, MAX(0, 50 - '02_Market_Inputs'!U7 * 25)))</f>
        <v/>
      </c>
      <c r="O7" s="15">
        <f>IF(ISBLANK('02_Market_Inputs'!V7), 50, MIN(100, MAX(0, 100 - '02_Market_Inputs'!V7)))</f>
        <v/>
      </c>
      <c r="P7" s="15">
        <f>IF(ISBLANK('02_Market_Inputs'!W7), 50, MIN(100, MAX(0, 50 + '02_Market_Inputs'!W7 * 25)))</f>
        <v/>
      </c>
      <c r="Q7" s="15">
        <f>IF(ISBLANK('06_MLR_Regression'!F7), 50, MIN(100, MAX(0, 50 + '06_MLR_Regression'!F7 * '01_Model_Config'!$B$32)))</f>
        <v/>
      </c>
      <c r="R7" s="15">
        <f>IF(ISBLANK('07_VAR_Granger'!J7), 50, MIN(100, MAX(0, 50 + '07_VAR_Granger'!J7 * '01_Model_Config'!$B$33)))</f>
        <v/>
      </c>
      <c r="S7" s="15">
        <f>'08_ML_Validation'!J7</f>
        <v/>
      </c>
      <c r="T7" s="15">
        <f>'08_ML_Validation'!K7</f>
        <v/>
      </c>
      <c r="U7" s="15">
        <f>IF('02_Market_Inputs'!Y7="completed", 85, IF('02_Market_Inputs'!Y7="confirmed", 75, IF('02_Market_Inputs'!Y7="pending", 55, 50))) + IF('02_Market_Inputs'!Z7&lt;=1, 20, IF('02_Market_Inputs'!Z7&lt;=2, 12, IF('02_Market_Inputs'!Z7&lt;=3, 6, 0)))</f>
        <v/>
      </c>
      <c r="V7" s="15">
        <f>IF(ISBLANK('02_Market_Inputs'!X7), 50, MIN(100, MAX(0, 50 + '02_Market_Inputs'!X7 * 100)))</f>
        <v/>
      </c>
      <c r="W7" s="15">
        <f>IF(ISBLANK('02_Market_Inputs'!AA7), 50, MIN(100, MAX(0, 50 + '02_Market_Inputs'!AA7 * 15)))</f>
        <v/>
      </c>
    </row>
    <row r="8">
      <c r="A8" s="12">
        <f>'02_Market_Inputs'!A8</f>
        <v/>
      </c>
      <c r="B8" s="12">
        <f>'02_Market_Inputs'!B8</f>
        <v/>
      </c>
      <c r="C8" s="11">
        <f>IF(ISBLANK('02_Market_Inputs'!D8), 50, MIN(100, MAX(0, 100 - ('02_Market_Inputs'!D8 - 1.0) * 14.0)))</f>
        <v/>
      </c>
      <c r="D8" s="11">
        <f>IF(ISBLANK('02_Market_Inputs'!E8), 50, MIN(100, MAX(0, 50 - '02_Market_Inputs'!E8 * 100)))</f>
        <v/>
      </c>
      <c r="E8" s="11">
        <f>IF(ISBLANK('02_Market_Inputs'!H8), 50, MIN(100, MAX(0, 50 - '02_Market_Inputs'!H8 * 15)))</f>
        <v/>
      </c>
      <c r="F8" s="11">
        <f>IF(ISBLANK('02_Market_Inputs'!I8), 50, MIN(100, MAX(0, 80 - ABS('02_Market_Inputs'!I8 - 12) * 4)))</f>
        <v/>
      </c>
      <c r="G8" s="11">
        <f>IF(ISBLANK('02_Market_Inputs'!F8), 50, (MIN(100, MAX(0, 100 - ('02_Market_Inputs'!F8 - 2.5) * 28.5)) + MIN(100, MAX(0, ('02_Market_Inputs'!G8 + 0.2) * 58))) / 2)</f>
        <v/>
      </c>
      <c r="H8" s="11">
        <f>IF(ISBLANK('02_Market_Inputs'!J8), 50, MIN(100, MAX(0, 50 - '02_Market_Inputs'!J8 * 20)))</f>
        <v/>
      </c>
      <c r="I8" s="11">
        <f>IF(ISBLANK('02_Market_Inputs'!K8), 50, MIN(100, MAX(0, 100 - '02_Market_Inputs'!K8 * 20)))</f>
        <v/>
      </c>
      <c r="J8" s="11">
        <f>IF(ISBLANK('02_Market_Inputs'!L8), 50, MIN(100, MAX(0, 50 + '02_Market_Inputs'!L8 * 15)))</f>
        <v/>
      </c>
      <c r="K8" s="11">
        <f>IF(ISBLANK('02_Market_Inputs'!N8), 50, MIN(100, MAX(0, 50 + '02_Market_Inputs'!N8 * 15)))</f>
        <v/>
      </c>
      <c r="L8" s="11">
        <f>IF(OR(ISBLANK('02_Market_Inputs'!O8), '02_Market_Inputs'!O8&lt;=0), 50, MIN(100, MAX(0, 100 - '02_Market_Inputs'!O8)))</f>
        <v/>
      </c>
      <c r="M8" s="11">
        <f>IF(ISBLANK('02_Market_Inputs'!S8), 50, MIN(100, MAX(0, 50 - '02_Market_Inputs'!S8 * 25)))</f>
        <v/>
      </c>
      <c r="N8" s="11">
        <f>IF(ISBLANK('02_Market_Inputs'!U8), 50, MIN(100, MAX(0, 50 - '02_Market_Inputs'!U8 * 25)))</f>
        <v/>
      </c>
      <c r="O8" s="11">
        <f>IF(ISBLANK('02_Market_Inputs'!V8), 50, MIN(100, MAX(0, 100 - '02_Market_Inputs'!V8)))</f>
        <v/>
      </c>
      <c r="P8" s="11">
        <f>IF(ISBLANK('02_Market_Inputs'!W8), 50, MIN(100, MAX(0, 50 + '02_Market_Inputs'!W8 * 25)))</f>
        <v/>
      </c>
      <c r="Q8" s="11">
        <f>IF(ISBLANK('06_MLR_Regression'!F8), 50, MIN(100, MAX(0, 50 + '06_MLR_Regression'!F8 * '01_Model_Config'!$B$32)))</f>
        <v/>
      </c>
      <c r="R8" s="11">
        <f>IF(ISBLANK('07_VAR_Granger'!J8), 50, MIN(100, MAX(0, 50 + '07_VAR_Granger'!J8 * '01_Model_Config'!$B$33)))</f>
        <v/>
      </c>
      <c r="S8" s="11">
        <f>'08_ML_Validation'!J8</f>
        <v/>
      </c>
      <c r="T8" s="11">
        <f>'08_ML_Validation'!K8</f>
        <v/>
      </c>
      <c r="U8" s="11">
        <f>IF('02_Market_Inputs'!Y8="completed", 85, IF('02_Market_Inputs'!Y8="confirmed", 75, IF('02_Market_Inputs'!Y8="pending", 55, 50))) + IF('02_Market_Inputs'!Z8&lt;=1, 20, IF('02_Market_Inputs'!Z8&lt;=2, 12, IF('02_Market_Inputs'!Z8&lt;=3, 6, 0)))</f>
        <v/>
      </c>
      <c r="V8" s="11">
        <f>IF(ISBLANK('02_Market_Inputs'!X8), 50, MIN(100, MAX(0, 50 + '02_Market_Inputs'!X8 * 100)))</f>
        <v/>
      </c>
      <c r="W8" s="11">
        <f>IF(ISBLANK('02_Market_Inputs'!AA8), 50, MIN(100, MAX(0, 50 + '02_Market_Inputs'!AA8 * 15)))</f>
        <v/>
      </c>
    </row>
    <row r="9">
      <c r="A9" s="16">
        <f>'02_Market_Inputs'!A9</f>
        <v/>
      </c>
      <c r="B9" s="16">
        <f>'02_Market_Inputs'!B9</f>
        <v/>
      </c>
      <c r="C9" s="15">
        <f>IF(ISBLANK('02_Market_Inputs'!D9), 50, MIN(100, MAX(0, 100 - ('02_Market_Inputs'!D9 - 1.0) * 14.0)))</f>
        <v/>
      </c>
      <c r="D9" s="15">
        <f>IF(ISBLANK('02_Market_Inputs'!E9), 50, MIN(100, MAX(0, 50 - '02_Market_Inputs'!E9 * 100)))</f>
        <v/>
      </c>
      <c r="E9" s="15">
        <f>IF(ISBLANK('02_Market_Inputs'!H9), 50, MIN(100, MAX(0, 50 - '02_Market_Inputs'!H9 * 15)))</f>
        <v/>
      </c>
      <c r="F9" s="15">
        <f>IF(ISBLANK('02_Market_Inputs'!I9), 50, MIN(100, MAX(0, 80 - ABS('02_Market_Inputs'!I9 - 12) * 4)))</f>
        <v/>
      </c>
      <c r="G9" s="15">
        <f>IF(ISBLANK('02_Market_Inputs'!F9), 50, (MIN(100, MAX(0, 100 - ('02_Market_Inputs'!F9 - 2.5) * 28.5)) + MIN(100, MAX(0, ('02_Market_Inputs'!G9 + 0.2) * 58))) / 2)</f>
        <v/>
      </c>
      <c r="H9" s="15">
        <f>IF(ISBLANK('02_Market_Inputs'!J9), 50, MIN(100, MAX(0, 50 - '02_Market_Inputs'!J9 * 20)))</f>
        <v/>
      </c>
      <c r="I9" s="15">
        <f>IF(ISBLANK('02_Market_Inputs'!K9), 50, MIN(100, MAX(0, 100 - '02_Market_Inputs'!K9 * 20)))</f>
        <v/>
      </c>
      <c r="J9" s="15">
        <f>IF(ISBLANK('02_Market_Inputs'!L9), 50, MIN(100, MAX(0, 50 + '02_Market_Inputs'!L9 * 15)))</f>
        <v/>
      </c>
      <c r="K9" s="15">
        <f>IF(ISBLANK('02_Market_Inputs'!N9), 50, MIN(100, MAX(0, 50 + '02_Market_Inputs'!N9 * 15)))</f>
        <v/>
      </c>
      <c r="L9" s="15">
        <f>IF(OR(ISBLANK('02_Market_Inputs'!O9), '02_Market_Inputs'!O9&lt;=0), 50, MIN(100, MAX(0, 100 - '02_Market_Inputs'!O9)))</f>
        <v/>
      </c>
      <c r="M9" s="15">
        <f>IF(ISBLANK('02_Market_Inputs'!S9), 50, MIN(100, MAX(0, 50 - '02_Market_Inputs'!S9 * 25)))</f>
        <v/>
      </c>
      <c r="N9" s="15">
        <f>IF(ISBLANK('02_Market_Inputs'!U9), 50, MIN(100, MAX(0, 50 - '02_Market_Inputs'!U9 * 25)))</f>
        <v/>
      </c>
      <c r="O9" s="15">
        <f>IF(ISBLANK('02_Market_Inputs'!V9), 50, MIN(100, MAX(0, 100 - '02_Market_Inputs'!V9)))</f>
        <v/>
      </c>
      <c r="P9" s="15">
        <f>IF(ISBLANK('02_Market_Inputs'!W9), 50, MIN(100, MAX(0, 50 + '02_Market_Inputs'!W9 * 25)))</f>
        <v/>
      </c>
      <c r="Q9" s="15">
        <f>IF(ISBLANK('06_MLR_Regression'!F9), 50, MIN(100, MAX(0, 50 + '06_MLR_Regression'!F9 * '01_Model_Config'!$B$32)))</f>
        <v/>
      </c>
      <c r="R9" s="15">
        <f>IF(ISBLANK('07_VAR_Granger'!J9), 50, MIN(100, MAX(0, 50 + '07_VAR_Granger'!J9 * '01_Model_Config'!$B$33)))</f>
        <v/>
      </c>
      <c r="S9" s="15">
        <f>'08_ML_Validation'!J9</f>
        <v/>
      </c>
      <c r="T9" s="15">
        <f>'08_ML_Validation'!K9</f>
        <v/>
      </c>
      <c r="U9" s="15">
        <f>IF('02_Market_Inputs'!Y9="completed", 85, IF('02_Market_Inputs'!Y9="confirmed", 75, IF('02_Market_Inputs'!Y9="pending", 55, 50))) + IF('02_Market_Inputs'!Z9&lt;=1, 20, IF('02_Market_Inputs'!Z9&lt;=2, 12, IF('02_Market_Inputs'!Z9&lt;=3, 6, 0)))</f>
        <v/>
      </c>
      <c r="V9" s="15">
        <f>IF(ISBLANK('02_Market_Inputs'!X9), 50, MIN(100, MAX(0, 50 + '02_Market_Inputs'!X9 * 100)))</f>
        <v/>
      </c>
      <c r="W9" s="15">
        <f>IF(ISBLANK('02_Market_Inputs'!AA9), 50, MIN(100, MAX(0, 50 + '02_Market_Inputs'!AA9 * 15)))</f>
        <v/>
      </c>
    </row>
    <row r="10">
      <c r="A10" s="12">
        <f>'02_Market_Inputs'!A10</f>
        <v/>
      </c>
      <c r="B10" s="12">
        <f>'02_Market_Inputs'!B10</f>
        <v/>
      </c>
      <c r="C10" s="11">
        <f>IF(ISBLANK('02_Market_Inputs'!D10), 50, MIN(100, MAX(0, 100 - ('02_Market_Inputs'!D10 - 1.0) * 14.0)))</f>
        <v/>
      </c>
      <c r="D10" s="11">
        <f>IF(ISBLANK('02_Market_Inputs'!E10), 50, MIN(100, MAX(0, 50 - '02_Market_Inputs'!E10 * 100)))</f>
        <v/>
      </c>
      <c r="E10" s="11">
        <f>IF(ISBLANK('02_Market_Inputs'!H10), 50, MIN(100, MAX(0, 50 - '02_Market_Inputs'!H10 * 15)))</f>
        <v/>
      </c>
      <c r="F10" s="11">
        <f>IF(ISBLANK('02_Market_Inputs'!I10), 50, MIN(100, MAX(0, 80 - ABS('02_Market_Inputs'!I10 - 12) * 4)))</f>
        <v/>
      </c>
      <c r="G10" s="11">
        <f>IF(ISBLANK('02_Market_Inputs'!F10), 50, (MIN(100, MAX(0, 100 - ('02_Market_Inputs'!F10 - 2.5) * 28.5)) + MIN(100, MAX(0, ('02_Market_Inputs'!G10 + 0.2) * 58))) / 2)</f>
        <v/>
      </c>
      <c r="H10" s="11">
        <f>IF(ISBLANK('02_Market_Inputs'!J10), 50, MIN(100, MAX(0, 50 - '02_Market_Inputs'!J10 * 20)))</f>
        <v/>
      </c>
      <c r="I10" s="11">
        <f>IF(ISBLANK('02_Market_Inputs'!K10), 50, MIN(100, MAX(0, 100 - '02_Market_Inputs'!K10 * 20)))</f>
        <v/>
      </c>
      <c r="J10" s="11">
        <f>IF(ISBLANK('02_Market_Inputs'!L10), 50, MIN(100, MAX(0, 50 + '02_Market_Inputs'!L10 * 15)))</f>
        <v/>
      </c>
      <c r="K10" s="11">
        <f>IF(ISBLANK('02_Market_Inputs'!N10), 50, MIN(100, MAX(0, 50 + '02_Market_Inputs'!N10 * 15)))</f>
        <v/>
      </c>
      <c r="L10" s="11">
        <f>IF(OR(ISBLANK('02_Market_Inputs'!O10), '02_Market_Inputs'!O10&lt;=0), 50, MIN(100, MAX(0, 100 - '02_Market_Inputs'!O10)))</f>
        <v/>
      </c>
      <c r="M10" s="11">
        <f>IF(ISBLANK('02_Market_Inputs'!S10), 50, MIN(100, MAX(0, 50 - '02_Market_Inputs'!S10 * 25)))</f>
        <v/>
      </c>
      <c r="N10" s="11">
        <f>IF(ISBLANK('02_Market_Inputs'!U10), 50, MIN(100, MAX(0, 50 - '02_Market_Inputs'!U10 * 25)))</f>
        <v/>
      </c>
      <c r="O10" s="11">
        <f>IF(ISBLANK('02_Market_Inputs'!V10), 50, MIN(100, MAX(0, 100 - '02_Market_Inputs'!V10)))</f>
        <v/>
      </c>
      <c r="P10" s="11">
        <f>IF(ISBLANK('02_Market_Inputs'!W10), 50, MIN(100, MAX(0, 50 + '02_Market_Inputs'!W10 * 25)))</f>
        <v/>
      </c>
      <c r="Q10" s="11">
        <f>IF(ISBLANK('06_MLR_Regression'!F10), 50, MIN(100, MAX(0, 50 + '06_MLR_Regression'!F10 * '01_Model_Config'!$B$32)))</f>
        <v/>
      </c>
      <c r="R10" s="11">
        <f>IF(ISBLANK('07_VAR_Granger'!J10), 50, MIN(100, MAX(0, 50 + '07_VAR_Granger'!J10 * '01_Model_Config'!$B$33)))</f>
        <v/>
      </c>
      <c r="S10" s="11">
        <f>'08_ML_Validation'!J10</f>
        <v/>
      </c>
      <c r="T10" s="11">
        <f>'08_ML_Validation'!K10</f>
        <v/>
      </c>
      <c r="U10" s="11">
        <f>IF('02_Market_Inputs'!Y10="completed", 85, IF('02_Market_Inputs'!Y10="confirmed", 75, IF('02_Market_Inputs'!Y10="pending", 55, 50))) + IF('02_Market_Inputs'!Z10&lt;=1, 20, IF('02_Market_Inputs'!Z10&lt;=2, 12, IF('02_Market_Inputs'!Z10&lt;=3, 6, 0)))</f>
        <v/>
      </c>
      <c r="V10" s="11">
        <f>IF(ISBLANK('02_Market_Inputs'!X10), 50, MIN(100, MAX(0, 50 + '02_Market_Inputs'!X10 * 100)))</f>
        <v/>
      </c>
      <c r="W10" s="11">
        <f>IF(ISBLANK('02_Market_Inputs'!AA10), 50, MIN(100, MAX(0, 50 + '02_Market_Inputs'!AA10 * 15)))</f>
        <v/>
      </c>
    </row>
    <row r="11">
      <c r="A11" s="16">
        <f>'02_Market_Inputs'!A11</f>
        <v/>
      </c>
      <c r="B11" s="16">
        <f>'02_Market_Inputs'!B11</f>
        <v/>
      </c>
      <c r="C11" s="15">
        <f>IF(ISBLANK('02_Market_Inputs'!D11), 50, MIN(100, MAX(0, 100 - ('02_Market_Inputs'!D11 - 1.0) * 14.0)))</f>
        <v/>
      </c>
      <c r="D11" s="15">
        <f>IF(ISBLANK('02_Market_Inputs'!E11), 50, MIN(100, MAX(0, 50 - '02_Market_Inputs'!E11 * 100)))</f>
        <v/>
      </c>
      <c r="E11" s="15">
        <f>IF(ISBLANK('02_Market_Inputs'!H11), 50, MIN(100, MAX(0, 50 - '02_Market_Inputs'!H11 * 15)))</f>
        <v/>
      </c>
      <c r="F11" s="15">
        <f>IF(ISBLANK('02_Market_Inputs'!I11), 50, MIN(100, MAX(0, 80 - ABS('02_Market_Inputs'!I11 - 12) * 4)))</f>
        <v/>
      </c>
      <c r="G11" s="15">
        <f>IF(ISBLANK('02_Market_Inputs'!F11), 50, (MIN(100, MAX(0, 100 - ('02_Market_Inputs'!F11 - 2.5) * 28.5)) + MIN(100, MAX(0, ('02_Market_Inputs'!G11 + 0.2) * 58))) / 2)</f>
        <v/>
      </c>
      <c r="H11" s="15">
        <f>IF(ISBLANK('02_Market_Inputs'!J11), 50, MIN(100, MAX(0, 50 - '02_Market_Inputs'!J11 * 20)))</f>
        <v/>
      </c>
      <c r="I11" s="15">
        <f>IF(ISBLANK('02_Market_Inputs'!K11), 50, MIN(100, MAX(0, 100 - '02_Market_Inputs'!K11 * 20)))</f>
        <v/>
      </c>
      <c r="J11" s="15">
        <f>IF(ISBLANK('02_Market_Inputs'!L11), 50, MIN(100, MAX(0, 50 + '02_Market_Inputs'!L11 * 15)))</f>
        <v/>
      </c>
      <c r="K11" s="15">
        <f>IF(ISBLANK('02_Market_Inputs'!N11), 50, MIN(100, MAX(0, 50 + '02_Market_Inputs'!N11 * 15)))</f>
        <v/>
      </c>
      <c r="L11" s="15">
        <f>IF(OR(ISBLANK('02_Market_Inputs'!O11), '02_Market_Inputs'!O11&lt;=0), 50, MIN(100, MAX(0, 100 - '02_Market_Inputs'!O11)))</f>
        <v/>
      </c>
      <c r="M11" s="15">
        <f>IF(ISBLANK('02_Market_Inputs'!S11), 50, MIN(100, MAX(0, 50 - '02_Market_Inputs'!S11 * 25)))</f>
        <v/>
      </c>
      <c r="N11" s="15">
        <f>IF(ISBLANK('02_Market_Inputs'!U11), 50, MIN(100, MAX(0, 50 - '02_Market_Inputs'!U11 * 25)))</f>
        <v/>
      </c>
      <c r="O11" s="15">
        <f>IF(ISBLANK('02_Market_Inputs'!V11), 50, MIN(100, MAX(0, 100 - '02_Market_Inputs'!V11)))</f>
        <v/>
      </c>
      <c r="P11" s="15">
        <f>IF(ISBLANK('02_Market_Inputs'!W11), 50, MIN(100, MAX(0, 50 + '02_Market_Inputs'!W11 * 25)))</f>
        <v/>
      </c>
      <c r="Q11" s="15">
        <f>IF(ISBLANK('06_MLR_Regression'!F11), 50, MIN(100, MAX(0, 50 + '06_MLR_Regression'!F11 * '01_Model_Config'!$B$32)))</f>
        <v/>
      </c>
      <c r="R11" s="15">
        <f>IF(ISBLANK('07_VAR_Granger'!J11), 50, MIN(100, MAX(0, 50 + '07_VAR_Granger'!J11 * '01_Model_Config'!$B$33)))</f>
        <v/>
      </c>
      <c r="S11" s="15">
        <f>'08_ML_Validation'!J11</f>
        <v/>
      </c>
      <c r="T11" s="15">
        <f>'08_ML_Validation'!K11</f>
        <v/>
      </c>
      <c r="U11" s="15">
        <f>IF('02_Market_Inputs'!Y11="completed", 85, IF('02_Market_Inputs'!Y11="confirmed", 75, IF('02_Market_Inputs'!Y11="pending", 55, 50))) + IF('02_Market_Inputs'!Z11&lt;=1, 20, IF('02_Market_Inputs'!Z11&lt;=2, 12, IF('02_Market_Inputs'!Z11&lt;=3, 6, 0)))</f>
        <v/>
      </c>
      <c r="V11" s="15">
        <f>IF(ISBLANK('02_Market_Inputs'!X11), 50, MIN(100, MAX(0, 50 + '02_Market_Inputs'!X11 * 100)))</f>
        <v/>
      </c>
      <c r="W11" s="15">
        <f>IF(ISBLANK('02_Market_Inputs'!AA11), 50, MIN(100, MAX(0, 50 + '02_Market_Inputs'!AA11 * 15)))</f>
        <v/>
      </c>
    </row>
    <row r="12">
      <c r="A12" s="12">
        <f>'02_Market_Inputs'!A12</f>
        <v/>
      </c>
      <c r="B12" s="12">
        <f>'02_Market_Inputs'!B12</f>
        <v/>
      </c>
      <c r="C12" s="11">
        <f>IF(ISBLANK('02_Market_Inputs'!D12), 50, MIN(100, MAX(0, 100 - ('02_Market_Inputs'!D12 - 1.0) * 14.0)))</f>
        <v/>
      </c>
      <c r="D12" s="11">
        <f>IF(ISBLANK('02_Market_Inputs'!E12), 50, MIN(100, MAX(0, 50 - '02_Market_Inputs'!E12 * 100)))</f>
        <v/>
      </c>
      <c r="E12" s="11">
        <f>IF(ISBLANK('02_Market_Inputs'!H12), 50, MIN(100, MAX(0, 50 - '02_Market_Inputs'!H12 * 15)))</f>
        <v/>
      </c>
      <c r="F12" s="11">
        <f>IF(ISBLANK('02_Market_Inputs'!I12), 50, MIN(100, MAX(0, 80 - ABS('02_Market_Inputs'!I12 - 12) * 4)))</f>
        <v/>
      </c>
      <c r="G12" s="11">
        <f>IF(ISBLANK('02_Market_Inputs'!F12), 50, (MIN(100, MAX(0, 100 - ('02_Market_Inputs'!F12 - 2.5) * 28.5)) + MIN(100, MAX(0, ('02_Market_Inputs'!G12 + 0.2) * 58))) / 2)</f>
        <v/>
      </c>
      <c r="H12" s="11">
        <f>IF(ISBLANK('02_Market_Inputs'!J12), 50, MIN(100, MAX(0, 50 - '02_Market_Inputs'!J12 * 20)))</f>
        <v/>
      </c>
      <c r="I12" s="11">
        <f>IF(ISBLANK('02_Market_Inputs'!K12), 50, MIN(100, MAX(0, 100 - '02_Market_Inputs'!K12 * 20)))</f>
        <v/>
      </c>
      <c r="J12" s="11">
        <f>IF(ISBLANK('02_Market_Inputs'!L12), 50, MIN(100, MAX(0, 50 + '02_Market_Inputs'!L12 * 15)))</f>
        <v/>
      </c>
      <c r="K12" s="11">
        <f>IF(ISBLANK('02_Market_Inputs'!N12), 50, MIN(100, MAX(0, 50 + '02_Market_Inputs'!N12 * 15)))</f>
        <v/>
      </c>
      <c r="L12" s="11">
        <f>IF(OR(ISBLANK('02_Market_Inputs'!O12), '02_Market_Inputs'!O12&lt;=0), 50, MIN(100, MAX(0, 100 - '02_Market_Inputs'!O12)))</f>
        <v/>
      </c>
      <c r="M12" s="11">
        <f>IF(ISBLANK('02_Market_Inputs'!S12), 50, MIN(100, MAX(0, 50 - '02_Market_Inputs'!S12 * 25)))</f>
        <v/>
      </c>
      <c r="N12" s="11">
        <f>IF(ISBLANK('02_Market_Inputs'!U12), 50, MIN(100, MAX(0, 50 - '02_Market_Inputs'!U12 * 25)))</f>
        <v/>
      </c>
      <c r="O12" s="11">
        <f>IF(ISBLANK('02_Market_Inputs'!V12), 50, MIN(100, MAX(0, 100 - '02_Market_Inputs'!V12)))</f>
        <v/>
      </c>
      <c r="P12" s="11">
        <f>IF(ISBLANK('02_Market_Inputs'!W12), 50, MIN(100, MAX(0, 50 + '02_Market_Inputs'!W12 * 25)))</f>
        <v/>
      </c>
      <c r="Q12" s="11">
        <f>IF(ISBLANK('06_MLR_Regression'!F12), 50, MIN(100, MAX(0, 50 + '06_MLR_Regression'!F12 * '01_Model_Config'!$B$32)))</f>
        <v/>
      </c>
      <c r="R12" s="11">
        <f>IF(ISBLANK('07_VAR_Granger'!J12), 50, MIN(100, MAX(0, 50 + '07_VAR_Granger'!J12 * '01_Model_Config'!$B$33)))</f>
        <v/>
      </c>
      <c r="S12" s="11">
        <f>'08_ML_Validation'!J12</f>
        <v/>
      </c>
      <c r="T12" s="11">
        <f>'08_ML_Validation'!K12</f>
        <v/>
      </c>
      <c r="U12" s="11">
        <f>IF('02_Market_Inputs'!Y12="completed", 85, IF('02_Market_Inputs'!Y12="confirmed", 75, IF('02_Market_Inputs'!Y12="pending", 55, 50))) + IF('02_Market_Inputs'!Z12&lt;=1, 20, IF('02_Market_Inputs'!Z12&lt;=2, 12, IF('02_Market_Inputs'!Z12&lt;=3, 6, 0)))</f>
        <v/>
      </c>
      <c r="V12" s="11">
        <f>IF(ISBLANK('02_Market_Inputs'!X12), 50, MIN(100, MAX(0, 50 + '02_Market_Inputs'!X12 * 100)))</f>
        <v/>
      </c>
      <c r="W12" s="11">
        <f>IF(ISBLANK('02_Market_Inputs'!AA12), 50, MIN(100, MAX(0, 50 + '02_Market_Inputs'!AA12 * 15)))</f>
        <v/>
      </c>
    </row>
    <row r="13">
      <c r="A13" s="16">
        <f>'02_Market_Inputs'!A13</f>
        <v/>
      </c>
      <c r="B13" s="16">
        <f>'02_Market_Inputs'!B13</f>
        <v/>
      </c>
      <c r="C13" s="15">
        <f>IF(ISBLANK('02_Market_Inputs'!D13), 50, MIN(100, MAX(0, 100 - ('02_Market_Inputs'!D13 - 1.0) * 14.0)))</f>
        <v/>
      </c>
      <c r="D13" s="15">
        <f>IF(ISBLANK('02_Market_Inputs'!E13), 50, MIN(100, MAX(0, 50 - '02_Market_Inputs'!E13 * 100)))</f>
        <v/>
      </c>
      <c r="E13" s="15">
        <f>IF(ISBLANK('02_Market_Inputs'!H13), 50, MIN(100, MAX(0, 50 - '02_Market_Inputs'!H13 * 15)))</f>
        <v/>
      </c>
      <c r="F13" s="15">
        <f>IF(ISBLANK('02_Market_Inputs'!I13), 50, MIN(100, MAX(0, 80 - ABS('02_Market_Inputs'!I13 - 12) * 4)))</f>
        <v/>
      </c>
      <c r="G13" s="15">
        <f>IF(ISBLANK('02_Market_Inputs'!F13), 50, (MIN(100, MAX(0, 100 - ('02_Market_Inputs'!F13 - 2.5) * 28.5)) + MIN(100, MAX(0, ('02_Market_Inputs'!G13 + 0.2) * 58))) / 2)</f>
        <v/>
      </c>
      <c r="H13" s="15">
        <f>IF(ISBLANK('02_Market_Inputs'!J13), 50, MIN(100, MAX(0, 50 - '02_Market_Inputs'!J13 * 20)))</f>
        <v/>
      </c>
      <c r="I13" s="15">
        <f>IF(ISBLANK('02_Market_Inputs'!K13), 50, MIN(100, MAX(0, 100 - '02_Market_Inputs'!K13 * 20)))</f>
        <v/>
      </c>
      <c r="J13" s="15">
        <f>IF(ISBLANK('02_Market_Inputs'!L13), 50, MIN(100, MAX(0, 50 + '02_Market_Inputs'!L13 * 15)))</f>
        <v/>
      </c>
      <c r="K13" s="15">
        <f>IF(ISBLANK('02_Market_Inputs'!N13), 50, MIN(100, MAX(0, 50 + '02_Market_Inputs'!N13 * 15)))</f>
        <v/>
      </c>
      <c r="L13" s="15">
        <f>IF(OR(ISBLANK('02_Market_Inputs'!O13), '02_Market_Inputs'!O13&lt;=0), 50, MIN(100, MAX(0, 100 - '02_Market_Inputs'!O13)))</f>
        <v/>
      </c>
      <c r="M13" s="15">
        <f>IF(ISBLANK('02_Market_Inputs'!S13), 50, MIN(100, MAX(0, 50 - '02_Market_Inputs'!S13 * 25)))</f>
        <v/>
      </c>
      <c r="N13" s="15">
        <f>IF(ISBLANK('02_Market_Inputs'!U13), 50, MIN(100, MAX(0, 50 - '02_Market_Inputs'!U13 * 25)))</f>
        <v/>
      </c>
      <c r="O13" s="15">
        <f>IF(ISBLANK('02_Market_Inputs'!V13), 50, MIN(100, MAX(0, 100 - '02_Market_Inputs'!V13)))</f>
        <v/>
      </c>
      <c r="P13" s="15">
        <f>IF(ISBLANK('02_Market_Inputs'!W13), 50, MIN(100, MAX(0, 50 + '02_Market_Inputs'!W13 * 25)))</f>
        <v/>
      </c>
      <c r="Q13" s="15">
        <f>IF(ISBLANK('06_MLR_Regression'!F13), 50, MIN(100, MAX(0, 50 + '06_MLR_Regression'!F13 * '01_Model_Config'!$B$32)))</f>
        <v/>
      </c>
      <c r="R13" s="15">
        <f>IF(ISBLANK('07_VAR_Granger'!J13), 50, MIN(100, MAX(0, 50 + '07_VAR_Granger'!J13 * '01_Model_Config'!$B$33)))</f>
        <v/>
      </c>
      <c r="S13" s="15">
        <f>'08_ML_Validation'!J13</f>
        <v/>
      </c>
      <c r="T13" s="15">
        <f>'08_ML_Validation'!K13</f>
        <v/>
      </c>
      <c r="U13" s="15">
        <f>IF('02_Market_Inputs'!Y13="completed", 85, IF('02_Market_Inputs'!Y13="confirmed", 75, IF('02_Market_Inputs'!Y13="pending", 55, 50))) + IF('02_Market_Inputs'!Z13&lt;=1, 20, IF('02_Market_Inputs'!Z13&lt;=2, 12, IF('02_Market_Inputs'!Z13&lt;=3, 6, 0)))</f>
        <v/>
      </c>
      <c r="V13" s="15">
        <f>IF(ISBLANK('02_Market_Inputs'!X13), 50, MIN(100, MAX(0, 50 + '02_Market_Inputs'!X13 * 100)))</f>
        <v/>
      </c>
      <c r="W13" s="15">
        <f>IF(ISBLANK('02_Market_Inputs'!AA13), 50, MIN(100, MAX(0, 50 + '02_Market_Inputs'!AA13 * 15)))</f>
        <v/>
      </c>
    </row>
    <row r="14">
      <c r="A14" s="12">
        <f>'02_Market_Inputs'!A14</f>
        <v/>
      </c>
      <c r="B14" s="12">
        <f>'02_Market_Inputs'!B14</f>
        <v/>
      </c>
      <c r="C14" s="11">
        <f>IF(ISBLANK('02_Market_Inputs'!D14), 50, MIN(100, MAX(0, 100 - ('02_Market_Inputs'!D14 - 1.0) * 14.0)))</f>
        <v/>
      </c>
      <c r="D14" s="11">
        <f>IF(ISBLANK('02_Market_Inputs'!E14), 50, MIN(100, MAX(0, 50 - '02_Market_Inputs'!E14 * 100)))</f>
        <v/>
      </c>
      <c r="E14" s="11">
        <f>IF(ISBLANK('02_Market_Inputs'!H14), 50, MIN(100, MAX(0, 50 - '02_Market_Inputs'!H14 * 15)))</f>
        <v/>
      </c>
      <c r="F14" s="11">
        <f>IF(ISBLANK('02_Market_Inputs'!I14), 50, MIN(100, MAX(0, 80 - ABS('02_Market_Inputs'!I14 - 12) * 4)))</f>
        <v/>
      </c>
      <c r="G14" s="11">
        <f>IF(ISBLANK('02_Market_Inputs'!F14), 50, (MIN(100, MAX(0, 100 - ('02_Market_Inputs'!F14 - 2.5) * 28.5)) + MIN(100, MAX(0, ('02_Market_Inputs'!G14 + 0.2) * 58))) / 2)</f>
        <v/>
      </c>
      <c r="H14" s="11">
        <f>IF(ISBLANK('02_Market_Inputs'!J14), 50, MIN(100, MAX(0, 50 - '02_Market_Inputs'!J14 * 20)))</f>
        <v/>
      </c>
      <c r="I14" s="11">
        <f>IF(ISBLANK('02_Market_Inputs'!K14), 50, MIN(100, MAX(0, 100 - '02_Market_Inputs'!K14 * 20)))</f>
        <v/>
      </c>
      <c r="J14" s="11">
        <f>IF(ISBLANK('02_Market_Inputs'!L14), 50, MIN(100, MAX(0, 50 + '02_Market_Inputs'!L14 * 15)))</f>
        <v/>
      </c>
      <c r="K14" s="11">
        <f>IF(ISBLANK('02_Market_Inputs'!N14), 50, MIN(100, MAX(0, 50 + '02_Market_Inputs'!N14 * 15)))</f>
        <v/>
      </c>
      <c r="L14" s="11">
        <f>IF(OR(ISBLANK('02_Market_Inputs'!O14), '02_Market_Inputs'!O14&lt;=0), 50, MIN(100, MAX(0, 100 - '02_Market_Inputs'!O14)))</f>
        <v/>
      </c>
      <c r="M14" s="11">
        <f>IF(ISBLANK('02_Market_Inputs'!S14), 50, MIN(100, MAX(0, 50 - '02_Market_Inputs'!S14 * 25)))</f>
        <v/>
      </c>
      <c r="N14" s="11">
        <f>IF(ISBLANK('02_Market_Inputs'!U14), 50, MIN(100, MAX(0, 50 - '02_Market_Inputs'!U14 * 25)))</f>
        <v/>
      </c>
      <c r="O14" s="11">
        <f>IF(ISBLANK('02_Market_Inputs'!V14), 50, MIN(100, MAX(0, 100 - '02_Market_Inputs'!V14)))</f>
        <v/>
      </c>
      <c r="P14" s="11">
        <f>IF(ISBLANK('02_Market_Inputs'!W14), 50, MIN(100, MAX(0, 50 + '02_Market_Inputs'!W14 * 25)))</f>
        <v/>
      </c>
      <c r="Q14" s="11">
        <f>IF(ISBLANK('06_MLR_Regression'!F14), 50, MIN(100, MAX(0, 50 + '06_MLR_Regression'!F14 * '01_Model_Config'!$B$32)))</f>
        <v/>
      </c>
      <c r="R14" s="11">
        <f>IF(ISBLANK('07_VAR_Granger'!J14), 50, MIN(100, MAX(0, 50 + '07_VAR_Granger'!J14 * '01_Model_Config'!$B$33)))</f>
        <v/>
      </c>
      <c r="S14" s="11">
        <f>'08_ML_Validation'!J14</f>
        <v/>
      </c>
      <c r="T14" s="11">
        <f>'08_ML_Validation'!K14</f>
        <v/>
      </c>
      <c r="U14" s="11">
        <f>IF('02_Market_Inputs'!Y14="completed", 85, IF('02_Market_Inputs'!Y14="confirmed", 75, IF('02_Market_Inputs'!Y14="pending", 55, 50))) + IF('02_Market_Inputs'!Z14&lt;=1, 20, IF('02_Market_Inputs'!Z14&lt;=2, 12, IF('02_Market_Inputs'!Z14&lt;=3, 6, 0)))</f>
        <v/>
      </c>
      <c r="V14" s="11">
        <f>IF(ISBLANK('02_Market_Inputs'!X14), 50, MIN(100, MAX(0, 50 + '02_Market_Inputs'!X14 * 100)))</f>
        <v/>
      </c>
      <c r="W14" s="11">
        <f>IF(ISBLANK('02_Market_Inputs'!AA14), 50, MIN(100, MAX(0, 50 + '02_Market_Inputs'!AA14 * 15)))</f>
        <v/>
      </c>
    </row>
    <row r="15">
      <c r="A15" s="16">
        <f>'02_Market_Inputs'!A15</f>
        <v/>
      </c>
      <c r="B15" s="16">
        <f>'02_Market_Inputs'!B15</f>
        <v/>
      </c>
      <c r="C15" s="15">
        <f>IF(ISBLANK('02_Market_Inputs'!D15), 50, MIN(100, MAX(0, 100 - ('02_Market_Inputs'!D15 - 1.0) * 14.0)))</f>
        <v/>
      </c>
      <c r="D15" s="15">
        <f>IF(ISBLANK('02_Market_Inputs'!E15), 50, MIN(100, MAX(0, 50 - '02_Market_Inputs'!E15 * 100)))</f>
        <v/>
      </c>
      <c r="E15" s="15">
        <f>IF(ISBLANK('02_Market_Inputs'!H15), 50, MIN(100, MAX(0, 50 - '02_Market_Inputs'!H15 * 15)))</f>
        <v/>
      </c>
      <c r="F15" s="15">
        <f>IF(ISBLANK('02_Market_Inputs'!I15), 50, MIN(100, MAX(0, 80 - ABS('02_Market_Inputs'!I15 - 12) * 4)))</f>
        <v/>
      </c>
      <c r="G15" s="15">
        <f>IF(ISBLANK('02_Market_Inputs'!F15), 50, (MIN(100, MAX(0, 100 - ('02_Market_Inputs'!F15 - 2.5) * 28.5)) + MIN(100, MAX(0, ('02_Market_Inputs'!G15 + 0.2) * 58))) / 2)</f>
        <v/>
      </c>
      <c r="H15" s="15">
        <f>IF(ISBLANK('02_Market_Inputs'!J15), 50, MIN(100, MAX(0, 50 - '02_Market_Inputs'!J15 * 20)))</f>
        <v/>
      </c>
      <c r="I15" s="15">
        <f>IF(ISBLANK('02_Market_Inputs'!K15), 50, MIN(100, MAX(0, 100 - '02_Market_Inputs'!K15 * 20)))</f>
        <v/>
      </c>
      <c r="J15" s="15">
        <f>IF(ISBLANK('02_Market_Inputs'!L15), 50, MIN(100, MAX(0, 50 + '02_Market_Inputs'!L15 * 15)))</f>
        <v/>
      </c>
      <c r="K15" s="15">
        <f>IF(ISBLANK('02_Market_Inputs'!N15), 50, MIN(100, MAX(0, 50 + '02_Market_Inputs'!N15 * 15)))</f>
        <v/>
      </c>
      <c r="L15" s="15">
        <f>IF(OR(ISBLANK('02_Market_Inputs'!O15), '02_Market_Inputs'!O15&lt;=0), 50, MIN(100, MAX(0, 100 - '02_Market_Inputs'!O15)))</f>
        <v/>
      </c>
      <c r="M15" s="15">
        <f>IF(ISBLANK('02_Market_Inputs'!S15), 50, MIN(100, MAX(0, 50 - '02_Market_Inputs'!S15 * 25)))</f>
        <v/>
      </c>
      <c r="N15" s="15">
        <f>IF(ISBLANK('02_Market_Inputs'!U15), 50, MIN(100, MAX(0, 50 - '02_Market_Inputs'!U15 * 25)))</f>
        <v/>
      </c>
      <c r="O15" s="15">
        <f>IF(ISBLANK('02_Market_Inputs'!V15), 50, MIN(100, MAX(0, 100 - '02_Market_Inputs'!V15)))</f>
        <v/>
      </c>
      <c r="P15" s="15">
        <f>IF(ISBLANK('02_Market_Inputs'!W15), 50, MIN(100, MAX(0, 50 + '02_Market_Inputs'!W15 * 25)))</f>
        <v/>
      </c>
      <c r="Q15" s="15">
        <f>IF(ISBLANK('06_MLR_Regression'!F15), 50, MIN(100, MAX(0, 50 + '06_MLR_Regression'!F15 * '01_Model_Config'!$B$32)))</f>
        <v/>
      </c>
      <c r="R15" s="15">
        <f>IF(ISBLANK('07_VAR_Granger'!J15), 50, MIN(100, MAX(0, 50 + '07_VAR_Granger'!J15 * '01_Model_Config'!$B$33)))</f>
        <v/>
      </c>
      <c r="S15" s="15">
        <f>'08_ML_Validation'!J15</f>
        <v/>
      </c>
      <c r="T15" s="15">
        <f>'08_ML_Validation'!K15</f>
        <v/>
      </c>
      <c r="U15" s="15">
        <f>IF('02_Market_Inputs'!Y15="completed", 85, IF('02_Market_Inputs'!Y15="confirmed", 75, IF('02_Market_Inputs'!Y15="pending", 55, 50))) + IF('02_Market_Inputs'!Z15&lt;=1, 20, IF('02_Market_Inputs'!Z15&lt;=2, 12, IF('02_Market_Inputs'!Z15&lt;=3, 6, 0)))</f>
        <v/>
      </c>
      <c r="V15" s="15">
        <f>IF(ISBLANK('02_Market_Inputs'!X15), 50, MIN(100, MAX(0, 50 + '02_Market_Inputs'!X15 * 100)))</f>
        <v/>
      </c>
      <c r="W15" s="15">
        <f>IF(ISBLANK('02_Market_Inputs'!AA15), 50, MIN(100, MAX(0, 50 + '02_Market_Inputs'!AA15 * 15)))</f>
        <v/>
      </c>
    </row>
    <row r="16">
      <c r="A16" s="12">
        <f>'02_Market_Inputs'!A16</f>
        <v/>
      </c>
      <c r="B16" s="12">
        <f>'02_Market_Inputs'!B16</f>
        <v/>
      </c>
      <c r="C16" s="11">
        <f>IF(ISBLANK('02_Market_Inputs'!D16), 50, MIN(100, MAX(0, 100 - ('02_Market_Inputs'!D16 - 1.0) * 14.0)))</f>
        <v/>
      </c>
      <c r="D16" s="11">
        <f>IF(ISBLANK('02_Market_Inputs'!E16), 50, MIN(100, MAX(0, 50 - '02_Market_Inputs'!E16 * 100)))</f>
        <v/>
      </c>
      <c r="E16" s="11">
        <f>IF(ISBLANK('02_Market_Inputs'!H16), 50, MIN(100, MAX(0, 50 - '02_Market_Inputs'!H16 * 15)))</f>
        <v/>
      </c>
      <c r="F16" s="11">
        <f>IF(ISBLANK('02_Market_Inputs'!I16), 50, MIN(100, MAX(0, 80 - ABS('02_Market_Inputs'!I16 - 12) * 4)))</f>
        <v/>
      </c>
      <c r="G16" s="11">
        <f>IF(ISBLANK('02_Market_Inputs'!F16), 50, (MIN(100, MAX(0, 100 - ('02_Market_Inputs'!F16 - 2.5) * 28.5)) + MIN(100, MAX(0, ('02_Market_Inputs'!G16 + 0.2) * 58))) / 2)</f>
        <v/>
      </c>
      <c r="H16" s="11">
        <f>IF(ISBLANK('02_Market_Inputs'!J16), 50, MIN(100, MAX(0, 50 - '02_Market_Inputs'!J16 * 20)))</f>
        <v/>
      </c>
      <c r="I16" s="11">
        <f>IF(ISBLANK('02_Market_Inputs'!K16), 50, MIN(100, MAX(0, 100 - '02_Market_Inputs'!K16 * 20)))</f>
        <v/>
      </c>
      <c r="J16" s="11">
        <f>IF(ISBLANK('02_Market_Inputs'!L16), 50, MIN(100, MAX(0, 50 + '02_Market_Inputs'!L16 * 15)))</f>
        <v/>
      </c>
      <c r="K16" s="11">
        <f>IF(ISBLANK('02_Market_Inputs'!N16), 50, MIN(100, MAX(0, 50 + '02_Market_Inputs'!N16 * 15)))</f>
        <v/>
      </c>
      <c r="L16" s="11">
        <f>IF(OR(ISBLANK('02_Market_Inputs'!O16), '02_Market_Inputs'!O16&lt;=0), 50, MIN(100, MAX(0, 100 - '02_Market_Inputs'!O16)))</f>
        <v/>
      </c>
      <c r="M16" s="11">
        <f>IF(ISBLANK('02_Market_Inputs'!S16), 50, MIN(100, MAX(0, 50 - '02_Market_Inputs'!S16 * 25)))</f>
        <v/>
      </c>
      <c r="N16" s="11">
        <f>IF(ISBLANK('02_Market_Inputs'!U16), 50, MIN(100, MAX(0, 50 - '02_Market_Inputs'!U16 * 25)))</f>
        <v/>
      </c>
      <c r="O16" s="11">
        <f>IF(ISBLANK('02_Market_Inputs'!V16), 50, MIN(100, MAX(0, 100 - '02_Market_Inputs'!V16)))</f>
        <v/>
      </c>
      <c r="P16" s="11">
        <f>IF(ISBLANK('02_Market_Inputs'!W16), 50, MIN(100, MAX(0, 50 + '02_Market_Inputs'!W16 * 25)))</f>
        <v/>
      </c>
      <c r="Q16" s="11">
        <f>IF(ISBLANK('06_MLR_Regression'!F16), 50, MIN(100, MAX(0, 50 + '06_MLR_Regression'!F16 * '01_Model_Config'!$B$32)))</f>
        <v/>
      </c>
      <c r="R16" s="11">
        <f>IF(ISBLANK('07_VAR_Granger'!J16), 50, MIN(100, MAX(0, 50 + '07_VAR_Granger'!J16 * '01_Model_Config'!$B$33)))</f>
        <v/>
      </c>
      <c r="S16" s="11">
        <f>'08_ML_Validation'!J16</f>
        <v/>
      </c>
      <c r="T16" s="11">
        <f>'08_ML_Validation'!K16</f>
        <v/>
      </c>
      <c r="U16" s="11">
        <f>IF('02_Market_Inputs'!Y16="completed", 85, IF('02_Market_Inputs'!Y16="confirmed", 75, IF('02_Market_Inputs'!Y16="pending", 55, 50))) + IF('02_Market_Inputs'!Z16&lt;=1, 20, IF('02_Market_Inputs'!Z16&lt;=2, 12, IF('02_Market_Inputs'!Z16&lt;=3, 6, 0)))</f>
        <v/>
      </c>
      <c r="V16" s="11">
        <f>IF(ISBLANK('02_Market_Inputs'!X16), 50, MIN(100, MAX(0, 50 + '02_Market_Inputs'!X16 * 100)))</f>
        <v/>
      </c>
      <c r="W16" s="11">
        <f>IF(ISBLANK('02_Market_Inputs'!AA16), 50, MIN(100, MAX(0, 50 + '02_Market_Inputs'!AA16 * 15)))</f>
        <v/>
      </c>
    </row>
    <row r="17">
      <c r="A17" s="16">
        <f>'02_Market_Inputs'!A17</f>
        <v/>
      </c>
      <c r="B17" s="16">
        <f>'02_Market_Inputs'!B17</f>
        <v/>
      </c>
      <c r="C17" s="15">
        <f>IF(ISBLANK('02_Market_Inputs'!D17), 50, MIN(100, MAX(0, 100 - ('02_Market_Inputs'!D17 - 1.0) * 14.0)))</f>
        <v/>
      </c>
      <c r="D17" s="15">
        <f>IF(ISBLANK('02_Market_Inputs'!E17), 50, MIN(100, MAX(0, 50 - '02_Market_Inputs'!E17 * 100)))</f>
        <v/>
      </c>
      <c r="E17" s="15">
        <f>IF(ISBLANK('02_Market_Inputs'!H17), 50, MIN(100, MAX(0, 50 - '02_Market_Inputs'!H17 * 15)))</f>
        <v/>
      </c>
      <c r="F17" s="15">
        <f>IF(ISBLANK('02_Market_Inputs'!I17), 50, MIN(100, MAX(0, 80 - ABS('02_Market_Inputs'!I17 - 12) * 4)))</f>
        <v/>
      </c>
      <c r="G17" s="15">
        <f>IF(ISBLANK('02_Market_Inputs'!F17), 50, (MIN(100, MAX(0, 100 - ('02_Market_Inputs'!F17 - 2.5) * 28.5)) + MIN(100, MAX(0, ('02_Market_Inputs'!G17 + 0.2) * 58))) / 2)</f>
        <v/>
      </c>
      <c r="H17" s="15">
        <f>IF(ISBLANK('02_Market_Inputs'!J17), 50, MIN(100, MAX(0, 50 - '02_Market_Inputs'!J17 * 20)))</f>
        <v/>
      </c>
      <c r="I17" s="15">
        <f>IF(ISBLANK('02_Market_Inputs'!K17), 50, MIN(100, MAX(0, 100 - '02_Market_Inputs'!K17 * 20)))</f>
        <v/>
      </c>
      <c r="J17" s="15">
        <f>IF(ISBLANK('02_Market_Inputs'!L17), 50, MIN(100, MAX(0, 50 + '02_Market_Inputs'!L17 * 15)))</f>
        <v/>
      </c>
      <c r="K17" s="15">
        <f>IF(ISBLANK('02_Market_Inputs'!N17), 50, MIN(100, MAX(0, 50 + '02_Market_Inputs'!N17 * 15)))</f>
        <v/>
      </c>
      <c r="L17" s="15">
        <f>IF(OR(ISBLANK('02_Market_Inputs'!O17), '02_Market_Inputs'!O17&lt;=0), 50, MIN(100, MAX(0, 100 - '02_Market_Inputs'!O17)))</f>
        <v/>
      </c>
      <c r="M17" s="15">
        <f>IF(ISBLANK('02_Market_Inputs'!S17), 50, MIN(100, MAX(0, 50 - '02_Market_Inputs'!S17 * 25)))</f>
        <v/>
      </c>
      <c r="N17" s="15">
        <f>IF(ISBLANK('02_Market_Inputs'!U17), 50, MIN(100, MAX(0, 50 - '02_Market_Inputs'!U17 * 25)))</f>
        <v/>
      </c>
      <c r="O17" s="15">
        <f>IF(ISBLANK('02_Market_Inputs'!V17), 50, MIN(100, MAX(0, 100 - '02_Market_Inputs'!V17)))</f>
        <v/>
      </c>
      <c r="P17" s="15">
        <f>IF(ISBLANK('02_Market_Inputs'!W17), 50, MIN(100, MAX(0, 50 + '02_Market_Inputs'!W17 * 25)))</f>
        <v/>
      </c>
      <c r="Q17" s="15">
        <f>IF(ISBLANK('06_MLR_Regression'!F17), 50, MIN(100, MAX(0, 50 + '06_MLR_Regression'!F17 * '01_Model_Config'!$B$32)))</f>
        <v/>
      </c>
      <c r="R17" s="15">
        <f>IF(ISBLANK('07_VAR_Granger'!J17), 50, MIN(100, MAX(0, 50 + '07_VAR_Granger'!J17 * '01_Model_Config'!$B$33)))</f>
        <v/>
      </c>
      <c r="S17" s="15">
        <f>'08_ML_Validation'!J17</f>
        <v/>
      </c>
      <c r="T17" s="15">
        <f>'08_ML_Validation'!K17</f>
        <v/>
      </c>
      <c r="U17" s="15">
        <f>IF('02_Market_Inputs'!Y17="completed", 85, IF('02_Market_Inputs'!Y17="confirmed", 75, IF('02_Market_Inputs'!Y17="pending", 55, 50))) + IF('02_Market_Inputs'!Z17&lt;=1, 20, IF('02_Market_Inputs'!Z17&lt;=2, 12, IF('02_Market_Inputs'!Z17&lt;=3, 6, 0)))</f>
        <v/>
      </c>
      <c r="V17" s="15">
        <f>IF(ISBLANK('02_Market_Inputs'!X17), 50, MIN(100, MAX(0, 50 + '02_Market_Inputs'!X17 * 100)))</f>
        <v/>
      </c>
      <c r="W17" s="15">
        <f>IF(ISBLANK('02_Market_Inputs'!AA17), 50, MIN(100, MAX(0, 50 + '02_Market_Inputs'!AA17 * 15)))</f>
        <v/>
      </c>
    </row>
    <row r="18">
      <c r="A18" s="12">
        <f>'02_Market_Inputs'!A18</f>
        <v/>
      </c>
      <c r="B18" s="12">
        <f>'02_Market_Inputs'!B18</f>
        <v/>
      </c>
      <c r="C18" s="11">
        <f>IF(ISBLANK('02_Market_Inputs'!D18), 50, MIN(100, MAX(0, 100 - ('02_Market_Inputs'!D18 - 1.0) * 14.0)))</f>
        <v/>
      </c>
      <c r="D18" s="11">
        <f>IF(ISBLANK('02_Market_Inputs'!E18), 50, MIN(100, MAX(0, 50 - '02_Market_Inputs'!E18 * 100)))</f>
        <v/>
      </c>
      <c r="E18" s="11">
        <f>IF(ISBLANK('02_Market_Inputs'!H18), 50, MIN(100, MAX(0, 50 - '02_Market_Inputs'!H18 * 15)))</f>
        <v/>
      </c>
      <c r="F18" s="11">
        <f>IF(ISBLANK('02_Market_Inputs'!I18), 50, MIN(100, MAX(0, 80 - ABS('02_Market_Inputs'!I18 - 12) * 4)))</f>
        <v/>
      </c>
      <c r="G18" s="11">
        <f>IF(ISBLANK('02_Market_Inputs'!F18), 50, (MIN(100, MAX(0, 100 - ('02_Market_Inputs'!F18 - 2.5) * 28.5)) + MIN(100, MAX(0, ('02_Market_Inputs'!G18 + 0.2) * 58))) / 2)</f>
        <v/>
      </c>
      <c r="H18" s="11">
        <f>IF(ISBLANK('02_Market_Inputs'!J18), 50, MIN(100, MAX(0, 50 - '02_Market_Inputs'!J18 * 20)))</f>
        <v/>
      </c>
      <c r="I18" s="11">
        <f>IF(ISBLANK('02_Market_Inputs'!K18), 50, MIN(100, MAX(0, 100 - '02_Market_Inputs'!K18 * 20)))</f>
        <v/>
      </c>
      <c r="J18" s="11">
        <f>IF(ISBLANK('02_Market_Inputs'!L18), 50, MIN(100, MAX(0, 50 + '02_Market_Inputs'!L18 * 15)))</f>
        <v/>
      </c>
      <c r="K18" s="11">
        <f>IF(ISBLANK('02_Market_Inputs'!N18), 50, MIN(100, MAX(0, 50 + '02_Market_Inputs'!N18 * 15)))</f>
        <v/>
      </c>
      <c r="L18" s="11">
        <f>IF(OR(ISBLANK('02_Market_Inputs'!O18), '02_Market_Inputs'!O18&lt;=0), 50, MIN(100, MAX(0, 100 - '02_Market_Inputs'!O18)))</f>
        <v/>
      </c>
      <c r="M18" s="11">
        <f>IF(ISBLANK('02_Market_Inputs'!S18), 50, MIN(100, MAX(0, 50 - '02_Market_Inputs'!S18 * 25)))</f>
        <v/>
      </c>
      <c r="N18" s="11">
        <f>IF(ISBLANK('02_Market_Inputs'!U18), 50, MIN(100, MAX(0, 50 - '02_Market_Inputs'!U18 * 25)))</f>
        <v/>
      </c>
      <c r="O18" s="11">
        <f>IF(ISBLANK('02_Market_Inputs'!V18), 50, MIN(100, MAX(0, 100 - '02_Market_Inputs'!V18)))</f>
        <v/>
      </c>
      <c r="P18" s="11">
        <f>IF(ISBLANK('02_Market_Inputs'!W18), 50, MIN(100, MAX(0, 50 + '02_Market_Inputs'!W18 * 25)))</f>
        <v/>
      </c>
      <c r="Q18" s="11">
        <f>IF(ISBLANK('06_MLR_Regression'!F18), 50, MIN(100, MAX(0, 50 + '06_MLR_Regression'!F18 * '01_Model_Config'!$B$32)))</f>
        <v/>
      </c>
      <c r="R18" s="11">
        <f>IF(ISBLANK('07_VAR_Granger'!J18), 50, MIN(100, MAX(0, 50 + '07_VAR_Granger'!J18 * '01_Model_Config'!$B$33)))</f>
        <v/>
      </c>
      <c r="S18" s="11">
        <f>'08_ML_Validation'!J18</f>
        <v/>
      </c>
      <c r="T18" s="11">
        <f>'08_ML_Validation'!K18</f>
        <v/>
      </c>
      <c r="U18" s="11">
        <f>IF('02_Market_Inputs'!Y18="completed", 85, IF('02_Market_Inputs'!Y18="confirmed", 75, IF('02_Market_Inputs'!Y18="pending", 55, 50))) + IF('02_Market_Inputs'!Z18&lt;=1, 20, IF('02_Market_Inputs'!Z18&lt;=2, 12, IF('02_Market_Inputs'!Z18&lt;=3, 6, 0)))</f>
        <v/>
      </c>
      <c r="V18" s="11">
        <f>IF(ISBLANK('02_Market_Inputs'!X18), 50, MIN(100, MAX(0, 50 + '02_Market_Inputs'!X18 * 100)))</f>
        <v/>
      </c>
      <c r="W18" s="11">
        <f>IF(ISBLANK('02_Market_Inputs'!AA18), 50, MIN(100, MAX(0, 50 + '02_Market_Inputs'!AA18 * 15)))</f>
        <v/>
      </c>
    </row>
    <row r="19">
      <c r="A19" s="16">
        <f>'02_Market_Inputs'!A19</f>
        <v/>
      </c>
      <c r="B19" s="16">
        <f>'02_Market_Inputs'!B19</f>
        <v/>
      </c>
      <c r="C19" s="15">
        <f>IF(ISBLANK('02_Market_Inputs'!D19), 50, MIN(100, MAX(0, 100 - ('02_Market_Inputs'!D19 - 1.0) * 14.0)))</f>
        <v/>
      </c>
      <c r="D19" s="15">
        <f>IF(ISBLANK('02_Market_Inputs'!E19), 50, MIN(100, MAX(0, 50 - '02_Market_Inputs'!E19 * 100)))</f>
        <v/>
      </c>
      <c r="E19" s="15">
        <f>IF(ISBLANK('02_Market_Inputs'!H19), 50, MIN(100, MAX(0, 50 - '02_Market_Inputs'!H19 * 15)))</f>
        <v/>
      </c>
      <c r="F19" s="15">
        <f>IF(ISBLANK('02_Market_Inputs'!I19), 50, MIN(100, MAX(0, 80 - ABS('02_Market_Inputs'!I19 - 12) * 4)))</f>
        <v/>
      </c>
      <c r="G19" s="15">
        <f>IF(ISBLANK('02_Market_Inputs'!F19), 50, (MIN(100, MAX(0, 100 - ('02_Market_Inputs'!F19 - 2.5) * 28.5)) + MIN(100, MAX(0, ('02_Market_Inputs'!G19 + 0.2) * 58))) / 2)</f>
        <v/>
      </c>
      <c r="H19" s="15">
        <f>IF(ISBLANK('02_Market_Inputs'!J19), 50, MIN(100, MAX(0, 50 - '02_Market_Inputs'!J19 * 20)))</f>
        <v/>
      </c>
      <c r="I19" s="15">
        <f>IF(ISBLANK('02_Market_Inputs'!K19), 50, MIN(100, MAX(0, 100 - '02_Market_Inputs'!K19 * 20)))</f>
        <v/>
      </c>
      <c r="J19" s="15">
        <f>IF(ISBLANK('02_Market_Inputs'!L19), 50, MIN(100, MAX(0, 50 + '02_Market_Inputs'!L19 * 15)))</f>
        <v/>
      </c>
      <c r="K19" s="15">
        <f>IF(ISBLANK('02_Market_Inputs'!N19), 50, MIN(100, MAX(0, 50 + '02_Market_Inputs'!N19 * 15)))</f>
        <v/>
      </c>
      <c r="L19" s="15">
        <f>IF(OR(ISBLANK('02_Market_Inputs'!O19), '02_Market_Inputs'!O19&lt;=0), 50, MIN(100, MAX(0, 100 - '02_Market_Inputs'!O19)))</f>
        <v/>
      </c>
      <c r="M19" s="15">
        <f>IF(ISBLANK('02_Market_Inputs'!S19), 50, MIN(100, MAX(0, 50 - '02_Market_Inputs'!S19 * 25)))</f>
        <v/>
      </c>
      <c r="N19" s="15">
        <f>IF(ISBLANK('02_Market_Inputs'!U19), 50, MIN(100, MAX(0, 50 - '02_Market_Inputs'!U19 * 25)))</f>
        <v/>
      </c>
      <c r="O19" s="15">
        <f>IF(ISBLANK('02_Market_Inputs'!V19), 50, MIN(100, MAX(0, 100 - '02_Market_Inputs'!V19)))</f>
        <v/>
      </c>
      <c r="P19" s="15">
        <f>IF(ISBLANK('02_Market_Inputs'!W19), 50, MIN(100, MAX(0, 50 + '02_Market_Inputs'!W19 * 25)))</f>
        <v/>
      </c>
      <c r="Q19" s="15">
        <f>IF(ISBLANK('06_MLR_Regression'!F19), 50, MIN(100, MAX(0, 50 + '06_MLR_Regression'!F19 * '01_Model_Config'!$B$32)))</f>
        <v/>
      </c>
      <c r="R19" s="15">
        <f>IF(ISBLANK('07_VAR_Granger'!J19), 50, MIN(100, MAX(0, 50 + '07_VAR_Granger'!J19 * '01_Model_Config'!$B$33)))</f>
        <v/>
      </c>
      <c r="S19" s="15">
        <f>'08_ML_Validation'!J19</f>
        <v/>
      </c>
      <c r="T19" s="15">
        <f>'08_ML_Validation'!K19</f>
        <v/>
      </c>
      <c r="U19" s="15">
        <f>IF('02_Market_Inputs'!Y19="completed", 85, IF('02_Market_Inputs'!Y19="confirmed", 75, IF('02_Market_Inputs'!Y19="pending", 55, 50))) + IF('02_Market_Inputs'!Z19&lt;=1, 20, IF('02_Market_Inputs'!Z19&lt;=2, 12, IF('02_Market_Inputs'!Z19&lt;=3, 6, 0)))</f>
        <v/>
      </c>
      <c r="V19" s="15">
        <f>IF(ISBLANK('02_Market_Inputs'!X19), 50, MIN(100, MAX(0, 50 + '02_Market_Inputs'!X19 * 100)))</f>
        <v/>
      </c>
      <c r="W19" s="15">
        <f>IF(ISBLANK('02_Market_Inputs'!AA19), 50, MIN(100, MAX(0, 50 + '02_Market_Inputs'!AA19 * 15)))</f>
        <v/>
      </c>
    </row>
    <row r="20">
      <c r="A20" s="12">
        <f>'02_Market_Inputs'!A20</f>
        <v/>
      </c>
      <c r="B20" s="12">
        <f>'02_Market_Inputs'!B20</f>
        <v/>
      </c>
      <c r="C20" s="11">
        <f>IF(ISBLANK('02_Market_Inputs'!D20), 50, MIN(100, MAX(0, 100 - ('02_Market_Inputs'!D20 - 1.0) * 14.0)))</f>
        <v/>
      </c>
      <c r="D20" s="11">
        <f>IF(ISBLANK('02_Market_Inputs'!E20), 50, MIN(100, MAX(0, 50 - '02_Market_Inputs'!E20 * 100)))</f>
        <v/>
      </c>
      <c r="E20" s="11">
        <f>IF(ISBLANK('02_Market_Inputs'!H20), 50, MIN(100, MAX(0, 50 - '02_Market_Inputs'!H20 * 15)))</f>
        <v/>
      </c>
      <c r="F20" s="11">
        <f>IF(ISBLANK('02_Market_Inputs'!I20), 50, MIN(100, MAX(0, 80 - ABS('02_Market_Inputs'!I20 - 12) * 4)))</f>
        <v/>
      </c>
      <c r="G20" s="11">
        <f>IF(ISBLANK('02_Market_Inputs'!F20), 50, (MIN(100, MAX(0, 100 - ('02_Market_Inputs'!F20 - 2.5) * 28.5)) + MIN(100, MAX(0, ('02_Market_Inputs'!G20 + 0.2) * 58))) / 2)</f>
        <v/>
      </c>
      <c r="H20" s="11">
        <f>IF(ISBLANK('02_Market_Inputs'!J20), 50, MIN(100, MAX(0, 50 - '02_Market_Inputs'!J20 * 20)))</f>
        <v/>
      </c>
      <c r="I20" s="11">
        <f>IF(ISBLANK('02_Market_Inputs'!K20), 50, MIN(100, MAX(0, 100 - '02_Market_Inputs'!K20 * 20)))</f>
        <v/>
      </c>
      <c r="J20" s="11">
        <f>IF(ISBLANK('02_Market_Inputs'!L20), 50, MIN(100, MAX(0, 50 + '02_Market_Inputs'!L20 * 15)))</f>
        <v/>
      </c>
      <c r="K20" s="11">
        <f>IF(ISBLANK('02_Market_Inputs'!N20), 50, MIN(100, MAX(0, 50 + '02_Market_Inputs'!N20 * 15)))</f>
        <v/>
      </c>
      <c r="L20" s="11">
        <f>IF(OR(ISBLANK('02_Market_Inputs'!O20), '02_Market_Inputs'!O20&lt;=0), 50, MIN(100, MAX(0, 100 - '02_Market_Inputs'!O20)))</f>
        <v/>
      </c>
      <c r="M20" s="11">
        <f>IF(ISBLANK('02_Market_Inputs'!S20), 50, MIN(100, MAX(0, 50 - '02_Market_Inputs'!S20 * 25)))</f>
        <v/>
      </c>
      <c r="N20" s="11">
        <f>IF(ISBLANK('02_Market_Inputs'!U20), 50, MIN(100, MAX(0, 50 - '02_Market_Inputs'!U20 * 25)))</f>
        <v/>
      </c>
      <c r="O20" s="11">
        <f>IF(ISBLANK('02_Market_Inputs'!V20), 50, MIN(100, MAX(0, 100 - '02_Market_Inputs'!V20)))</f>
        <v/>
      </c>
      <c r="P20" s="11">
        <f>IF(ISBLANK('02_Market_Inputs'!W20), 50, MIN(100, MAX(0, 50 + '02_Market_Inputs'!W20 * 25)))</f>
        <v/>
      </c>
      <c r="Q20" s="11">
        <f>IF(ISBLANK('06_MLR_Regression'!F20), 50, MIN(100, MAX(0, 50 + '06_MLR_Regression'!F20 * '01_Model_Config'!$B$32)))</f>
        <v/>
      </c>
      <c r="R20" s="11">
        <f>IF(ISBLANK('07_VAR_Granger'!J20), 50, MIN(100, MAX(0, 50 + '07_VAR_Granger'!J20 * '01_Model_Config'!$B$33)))</f>
        <v/>
      </c>
      <c r="S20" s="11">
        <f>'08_ML_Validation'!J20</f>
        <v/>
      </c>
      <c r="T20" s="11">
        <f>'08_ML_Validation'!K20</f>
        <v/>
      </c>
      <c r="U20" s="11">
        <f>IF('02_Market_Inputs'!Y20="completed", 85, IF('02_Market_Inputs'!Y20="confirmed", 75, IF('02_Market_Inputs'!Y20="pending", 55, 50))) + IF('02_Market_Inputs'!Z20&lt;=1, 20, IF('02_Market_Inputs'!Z20&lt;=2, 12, IF('02_Market_Inputs'!Z20&lt;=3, 6, 0)))</f>
        <v/>
      </c>
      <c r="V20" s="11">
        <f>IF(ISBLANK('02_Market_Inputs'!X20), 50, MIN(100, MAX(0, 50 + '02_Market_Inputs'!X20 * 100)))</f>
        <v/>
      </c>
      <c r="W20" s="11">
        <f>IF(ISBLANK('02_Market_Inputs'!AA20), 50, MIN(100, MAX(0, 50 + '02_Market_Inputs'!AA20 * 15)))</f>
        <v/>
      </c>
    </row>
    <row r="21">
      <c r="A21" s="16">
        <f>'02_Market_Inputs'!A21</f>
        <v/>
      </c>
      <c r="B21" s="16">
        <f>'02_Market_Inputs'!B21</f>
        <v/>
      </c>
      <c r="C21" s="15">
        <f>IF(ISBLANK('02_Market_Inputs'!D21), 50, MIN(100, MAX(0, 100 - ('02_Market_Inputs'!D21 - 1.0) * 14.0)))</f>
        <v/>
      </c>
      <c r="D21" s="15">
        <f>IF(ISBLANK('02_Market_Inputs'!E21), 50, MIN(100, MAX(0, 50 - '02_Market_Inputs'!E21 * 100)))</f>
        <v/>
      </c>
      <c r="E21" s="15">
        <f>IF(ISBLANK('02_Market_Inputs'!H21), 50, MIN(100, MAX(0, 50 - '02_Market_Inputs'!H21 * 15)))</f>
        <v/>
      </c>
      <c r="F21" s="15">
        <f>IF(ISBLANK('02_Market_Inputs'!I21), 50, MIN(100, MAX(0, 80 - ABS('02_Market_Inputs'!I21 - 12) * 4)))</f>
        <v/>
      </c>
      <c r="G21" s="15">
        <f>IF(ISBLANK('02_Market_Inputs'!F21), 50, (MIN(100, MAX(0, 100 - ('02_Market_Inputs'!F21 - 2.5) * 28.5)) + MIN(100, MAX(0, ('02_Market_Inputs'!G21 + 0.2) * 58))) / 2)</f>
        <v/>
      </c>
      <c r="H21" s="15">
        <f>IF(ISBLANK('02_Market_Inputs'!J21), 50, MIN(100, MAX(0, 50 - '02_Market_Inputs'!J21 * 20)))</f>
        <v/>
      </c>
      <c r="I21" s="15">
        <f>IF(ISBLANK('02_Market_Inputs'!K21), 50, MIN(100, MAX(0, 100 - '02_Market_Inputs'!K21 * 20)))</f>
        <v/>
      </c>
      <c r="J21" s="15">
        <f>IF(ISBLANK('02_Market_Inputs'!L21), 50, MIN(100, MAX(0, 50 + '02_Market_Inputs'!L21 * 15)))</f>
        <v/>
      </c>
      <c r="K21" s="15">
        <f>IF(ISBLANK('02_Market_Inputs'!N21), 50, MIN(100, MAX(0, 50 + '02_Market_Inputs'!N21 * 15)))</f>
        <v/>
      </c>
      <c r="L21" s="15">
        <f>IF(OR(ISBLANK('02_Market_Inputs'!O21), '02_Market_Inputs'!O21&lt;=0), 50, MIN(100, MAX(0, 100 - '02_Market_Inputs'!O21)))</f>
        <v/>
      </c>
      <c r="M21" s="15">
        <f>IF(ISBLANK('02_Market_Inputs'!S21), 50, MIN(100, MAX(0, 50 - '02_Market_Inputs'!S21 * 25)))</f>
        <v/>
      </c>
      <c r="N21" s="15">
        <f>IF(ISBLANK('02_Market_Inputs'!U21), 50, MIN(100, MAX(0, 50 - '02_Market_Inputs'!U21 * 25)))</f>
        <v/>
      </c>
      <c r="O21" s="15">
        <f>IF(ISBLANK('02_Market_Inputs'!V21), 50, MIN(100, MAX(0, 100 - '02_Market_Inputs'!V21)))</f>
        <v/>
      </c>
      <c r="P21" s="15">
        <f>IF(ISBLANK('02_Market_Inputs'!W21), 50, MIN(100, MAX(0, 50 + '02_Market_Inputs'!W21 * 25)))</f>
        <v/>
      </c>
      <c r="Q21" s="15">
        <f>IF(ISBLANK('06_MLR_Regression'!F21), 50, MIN(100, MAX(0, 50 + '06_MLR_Regression'!F21 * '01_Model_Config'!$B$32)))</f>
        <v/>
      </c>
      <c r="R21" s="15">
        <f>IF(ISBLANK('07_VAR_Granger'!J21), 50, MIN(100, MAX(0, 50 + '07_VAR_Granger'!J21 * '01_Model_Config'!$B$33)))</f>
        <v/>
      </c>
      <c r="S21" s="15">
        <f>'08_ML_Validation'!J21</f>
        <v/>
      </c>
      <c r="T21" s="15">
        <f>'08_ML_Validation'!K21</f>
        <v/>
      </c>
      <c r="U21" s="15">
        <f>IF('02_Market_Inputs'!Y21="completed", 85, IF('02_Market_Inputs'!Y21="confirmed", 75, IF('02_Market_Inputs'!Y21="pending", 55, 50))) + IF('02_Market_Inputs'!Z21&lt;=1, 20, IF('02_Market_Inputs'!Z21&lt;=2, 12, IF('02_Market_Inputs'!Z21&lt;=3, 6, 0)))</f>
        <v/>
      </c>
      <c r="V21" s="15">
        <f>IF(ISBLANK('02_Market_Inputs'!X21), 50, MIN(100, MAX(0, 50 + '02_Market_Inputs'!X21 * 100)))</f>
        <v/>
      </c>
      <c r="W21" s="15">
        <f>IF(ISBLANK('02_Market_Inputs'!AA21), 50, MIN(100, MAX(0, 50 + '02_Market_Inputs'!AA21 * 15)))</f>
        <v/>
      </c>
    </row>
    <row r="22">
      <c r="A22" s="12">
        <f>'02_Market_Inputs'!A22</f>
        <v/>
      </c>
      <c r="B22" s="12">
        <f>'02_Market_Inputs'!B22</f>
        <v/>
      </c>
      <c r="C22" s="11">
        <f>IF(ISBLANK('02_Market_Inputs'!D22), 50, MIN(100, MAX(0, 100 - ('02_Market_Inputs'!D22 - 1.0) * 14.0)))</f>
        <v/>
      </c>
      <c r="D22" s="11">
        <f>IF(ISBLANK('02_Market_Inputs'!E22), 50, MIN(100, MAX(0, 50 - '02_Market_Inputs'!E22 * 100)))</f>
        <v/>
      </c>
      <c r="E22" s="11">
        <f>IF(ISBLANK('02_Market_Inputs'!H22), 50, MIN(100, MAX(0, 50 - '02_Market_Inputs'!H22 * 15)))</f>
        <v/>
      </c>
      <c r="F22" s="11">
        <f>IF(ISBLANK('02_Market_Inputs'!I22), 50, MIN(100, MAX(0, 80 - ABS('02_Market_Inputs'!I22 - 12) * 4)))</f>
        <v/>
      </c>
      <c r="G22" s="11">
        <f>IF(ISBLANK('02_Market_Inputs'!F22), 50, (MIN(100, MAX(0, 100 - ('02_Market_Inputs'!F22 - 2.5) * 28.5)) + MIN(100, MAX(0, ('02_Market_Inputs'!G22 + 0.2) * 58))) / 2)</f>
        <v/>
      </c>
      <c r="H22" s="11">
        <f>IF(ISBLANK('02_Market_Inputs'!J22), 50, MIN(100, MAX(0, 50 - '02_Market_Inputs'!J22 * 20)))</f>
        <v/>
      </c>
      <c r="I22" s="11">
        <f>IF(ISBLANK('02_Market_Inputs'!K22), 50, MIN(100, MAX(0, 100 - '02_Market_Inputs'!K22 * 20)))</f>
        <v/>
      </c>
      <c r="J22" s="11">
        <f>IF(ISBLANK('02_Market_Inputs'!L22), 50, MIN(100, MAX(0, 50 + '02_Market_Inputs'!L22 * 15)))</f>
        <v/>
      </c>
      <c r="K22" s="11">
        <f>IF(ISBLANK('02_Market_Inputs'!N22), 50, MIN(100, MAX(0, 50 + '02_Market_Inputs'!N22 * 15)))</f>
        <v/>
      </c>
      <c r="L22" s="11">
        <f>IF(OR(ISBLANK('02_Market_Inputs'!O22), '02_Market_Inputs'!O22&lt;=0), 50, MIN(100, MAX(0, 100 - '02_Market_Inputs'!O22)))</f>
        <v/>
      </c>
      <c r="M22" s="11">
        <f>IF(ISBLANK('02_Market_Inputs'!S22), 50, MIN(100, MAX(0, 50 - '02_Market_Inputs'!S22 * 25)))</f>
        <v/>
      </c>
      <c r="N22" s="11">
        <f>IF(ISBLANK('02_Market_Inputs'!U22), 50, MIN(100, MAX(0, 50 - '02_Market_Inputs'!U22 * 25)))</f>
        <v/>
      </c>
      <c r="O22" s="11">
        <f>IF(ISBLANK('02_Market_Inputs'!V22), 50, MIN(100, MAX(0, 100 - '02_Market_Inputs'!V22)))</f>
        <v/>
      </c>
      <c r="P22" s="11">
        <f>IF(ISBLANK('02_Market_Inputs'!W22), 50, MIN(100, MAX(0, 50 + '02_Market_Inputs'!W22 * 25)))</f>
        <v/>
      </c>
      <c r="Q22" s="11">
        <f>IF(ISBLANK('06_MLR_Regression'!F22), 50, MIN(100, MAX(0, 50 + '06_MLR_Regression'!F22 * '01_Model_Config'!$B$32)))</f>
        <v/>
      </c>
      <c r="R22" s="11">
        <f>IF(ISBLANK('07_VAR_Granger'!J22), 50, MIN(100, MAX(0, 50 + '07_VAR_Granger'!J22 * '01_Model_Config'!$B$33)))</f>
        <v/>
      </c>
      <c r="S22" s="11">
        <f>'08_ML_Validation'!J22</f>
        <v/>
      </c>
      <c r="T22" s="11">
        <f>'08_ML_Validation'!K22</f>
        <v/>
      </c>
      <c r="U22" s="11">
        <f>IF('02_Market_Inputs'!Y22="completed", 85, IF('02_Market_Inputs'!Y22="confirmed", 75, IF('02_Market_Inputs'!Y22="pending", 55, 50))) + IF('02_Market_Inputs'!Z22&lt;=1, 20, IF('02_Market_Inputs'!Z22&lt;=2, 12, IF('02_Market_Inputs'!Z22&lt;=3, 6, 0)))</f>
        <v/>
      </c>
      <c r="V22" s="11">
        <f>IF(ISBLANK('02_Market_Inputs'!X22), 50, MIN(100, MAX(0, 50 + '02_Market_Inputs'!X22 * 100)))</f>
        <v/>
      </c>
      <c r="W22" s="11">
        <f>IF(ISBLANK('02_Market_Inputs'!AA22), 50, MIN(100, MAX(0, 50 + '02_Market_Inputs'!AA22 * 15)))</f>
        <v/>
      </c>
    </row>
    <row r="23">
      <c r="A23" s="16">
        <f>'02_Market_Inputs'!A23</f>
        <v/>
      </c>
      <c r="B23" s="16">
        <f>'02_Market_Inputs'!B23</f>
        <v/>
      </c>
      <c r="C23" s="15">
        <f>IF(ISBLANK('02_Market_Inputs'!D23), 50, MIN(100, MAX(0, 100 - ('02_Market_Inputs'!D23 - 1.0) * 14.0)))</f>
        <v/>
      </c>
      <c r="D23" s="15">
        <f>IF(ISBLANK('02_Market_Inputs'!E23), 50, MIN(100, MAX(0, 50 - '02_Market_Inputs'!E23 * 100)))</f>
        <v/>
      </c>
      <c r="E23" s="15">
        <f>IF(ISBLANK('02_Market_Inputs'!H23), 50, MIN(100, MAX(0, 50 - '02_Market_Inputs'!H23 * 15)))</f>
        <v/>
      </c>
      <c r="F23" s="15">
        <f>IF(ISBLANK('02_Market_Inputs'!I23), 50, MIN(100, MAX(0, 80 - ABS('02_Market_Inputs'!I23 - 12) * 4)))</f>
        <v/>
      </c>
      <c r="G23" s="15">
        <f>IF(ISBLANK('02_Market_Inputs'!F23), 50, (MIN(100, MAX(0, 100 - ('02_Market_Inputs'!F23 - 2.5) * 28.5)) + MIN(100, MAX(0, ('02_Market_Inputs'!G23 + 0.2) * 58))) / 2)</f>
        <v/>
      </c>
      <c r="H23" s="15">
        <f>IF(ISBLANK('02_Market_Inputs'!J23), 50, MIN(100, MAX(0, 50 - '02_Market_Inputs'!J23 * 20)))</f>
        <v/>
      </c>
      <c r="I23" s="15">
        <f>IF(ISBLANK('02_Market_Inputs'!K23), 50, MIN(100, MAX(0, 100 - '02_Market_Inputs'!K23 * 20)))</f>
        <v/>
      </c>
      <c r="J23" s="15">
        <f>IF(ISBLANK('02_Market_Inputs'!L23), 50, MIN(100, MAX(0, 50 + '02_Market_Inputs'!L23 * 15)))</f>
        <v/>
      </c>
      <c r="K23" s="15">
        <f>IF(ISBLANK('02_Market_Inputs'!N23), 50, MIN(100, MAX(0, 50 + '02_Market_Inputs'!N23 * 15)))</f>
        <v/>
      </c>
      <c r="L23" s="15">
        <f>IF(OR(ISBLANK('02_Market_Inputs'!O23), '02_Market_Inputs'!O23&lt;=0), 50, MIN(100, MAX(0, 100 - '02_Market_Inputs'!O23)))</f>
        <v/>
      </c>
      <c r="M23" s="15">
        <f>IF(ISBLANK('02_Market_Inputs'!S23), 50, MIN(100, MAX(0, 50 - '02_Market_Inputs'!S23 * 25)))</f>
        <v/>
      </c>
      <c r="N23" s="15">
        <f>IF(ISBLANK('02_Market_Inputs'!U23), 50, MIN(100, MAX(0, 50 - '02_Market_Inputs'!U23 * 25)))</f>
        <v/>
      </c>
      <c r="O23" s="15">
        <f>IF(ISBLANK('02_Market_Inputs'!V23), 50, MIN(100, MAX(0, 100 - '02_Market_Inputs'!V23)))</f>
        <v/>
      </c>
      <c r="P23" s="15">
        <f>IF(ISBLANK('02_Market_Inputs'!W23), 50, MIN(100, MAX(0, 50 + '02_Market_Inputs'!W23 * 25)))</f>
        <v/>
      </c>
      <c r="Q23" s="15">
        <f>IF(ISBLANK('06_MLR_Regression'!F23), 50, MIN(100, MAX(0, 50 + '06_MLR_Regression'!F23 * '01_Model_Config'!$B$32)))</f>
        <v/>
      </c>
      <c r="R23" s="15">
        <f>IF(ISBLANK('07_VAR_Granger'!J23), 50, MIN(100, MAX(0, 50 + '07_VAR_Granger'!J23 * '01_Model_Config'!$B$33)))</f>
        <v/>
      </c>
      <c r="S23" s="15">
        <f>'08_ML_Validation'!J23</f>
        <v/>
      </c>
      <c r="T23" s="15">
        <f>'08_ML_Validation'!K23</f>
        <v/>
      </c>
      <c r="U23" s="15">
        <f>IF('02_Market_Inputs'!Y23="completed", 85, IF('02_Market_Inputs'!Y23="confirmed", 75, IF('02_Market_Inputs'!Y23="pending", 55, 50))) + IF('02_Market_Inputs'!Z23&lt;=1, 20, IF('02_Market_Inputs'!Z23&lt;=2, 12, IF('02_Market_Inputs'!Z23&lt;=3, 6, 0)))</f>
        <v/>
      </c>
      <c r="V23" s="15">
        <f>IF(ISBLANK('02_Market_Inputs'!X23), 50, MIN(100, MAX(0, 50 + '02_Market_Inputs'!X23 * 100)))</f>
        <v/>
      </c>
      <c r="W23" s="15">
        <f>IF(ISBLANK('02_Market_Inputs'!AA23), 50, MIN(100, MAX(0, 50 + '02_Market_Inputs'!AA23 * 15)))</f>
        <v/>
      </c>
    </row>
    <row r="24">
      <c r="A24" s="12">
        <f>'02_Market_Inputs'!A24</f>
        <v/>
      </c>
      <c r="B24" s="12">
        <f>'02_Market_Inputs'!B24</f>
        <v/>
      </c>
      <c r="C24" s="11">
        <f>IF(ISBLANK('02_Market_Inputs'!D24), 50, MIN(100, MAX(0, 100 - ('02_Market_Inputs'!D24 - 1.0) * 14.0)))</f>
        <v/>
      </c>
      <c r="D24" s="11">
        <f>IF(ISBLANK('02_Market_Inputs'!E24), 50, MIN(100, MAX(0, 50 - '02_Market_Inputs'!E24 * 100)))</f>
        <v/>
      </c>
      <c r="E24" s="11">
        <f>IF(ISBLANK('02_Market_Inputs'!H24), 50, MIN(100, MAX(0, 50 - '02_Market_Inputs'!H24 * 15)))</f>
        <v/>
      </c>
      <c r="F24" s="11">
        <f>IF(ISBLANK('02_Market_Inputs'!I24), 50, MIN(100, MAX(0, 80 - ABS('02_Market_Inputs'!I24 - 12) * 4)))</f>
        <v/>
      </c>
      <c r="G24" s="11">
        <f>IF(ISBLANK('02_Market_Inputs'!F24), 50, (MIN(100, MAX(0, 100 - ('02_Market_Inputs'!F24 - 2.5) * 28.5)) + MIN(100, MAX(0, ('02_Market_Inputs'!G24 + 0.2) * 58))) / 2)</f>
        <v/>
      </c>
      <c r="H24" s="11">
        <f>IF(ISBLANK('02_Market_Inputs'!J24), 50, MIN(100, MAX(0, 50 - '02_Market_Inputs'!J24 * 20)))</f>
        <v/>
      </c>
      <c r="I24" s="11">
        <f>IF(ISBLANK('02_Market_Inputs'!K24), 50, MIN(100, MAX(0, 100 - '02_Market_Inputs'!K24 * 20)))</f>
        <v/>
      </c>
      <c r="J24" s="11">
        <f>IF(ISBLANK('02_Market_Inputs'!L24), 50, MIN(100, MAX(0, 50 + '02_Market_Inputs'!L24 * 15)))</f>
        <v/>
      </c>
      <c r="K24" s="11">
        <f>IF(ISBLANK('02_Market_Inputs'!N24), 50, MIN(100, MAX(0, 50 + '02_Market_Inputs'!N24 * 15)))</f>
        <v/>
      </c>
      <c r="L24" s="11">
        <f>IF(OR(ISBLANK('02_Market_Inputs'!O24), '02_Market_Inputs'!O24&lt;=0), 50, MIN(100, MAX(0, 100 - '02_Market_Inputs'!O24)))</f>
        <v/>
      </c>
      <c r="M24" s="11">
        <f>IF(ISBLANK('02_Market_Inputs'!S24), 50, MIN(100, MAX(0, 50 - '02_Market_Inputs'!S24 * 25)))</f>
        <v/>
      </c>
      <c r="N24" s="11">
        <f>IF(ISBLANK('02_Market_Inputs'!U24), 50, MIN(100, MAX(0, 50 - '02_Market_Inputs'!U24 * 25)))</f>
        <v/>
      </c>
      <c r="O24" s="11">
        <f>IF(ISBLANK('02_Market_Inputs'!V24), 50, MIN(100, MAX(0, 100 - '02_Market_Inputs'!V24)))</f>
        <v/>
      </c>
      <c r="P24" s="11">
        <f>IF(ISBLANK('02_Market_Inputs'!W24), 50, MIN(100, MAX(0, 50 + '02_Market_Inputs'!W24 * 25)))</f>
        <v/>
      </c>
      <c r="Q24" s="11">
        <f>IF(ISBLANK('06_MLR_Regression'!F24), 50, MIN(100, MAX(0, 50 + '06_MLR_Regression'!F24 * '01_Model_Config'!$B$32)))</f>
        <v/>
      </c>
      <c r="R24" s="11">
        <f>IF(ISBLANK('07_VAR_Granger'!J24), 50, MIN(100, MAX(0, 50 + '07_VAR_Granger'!J24 * '01_Model_Config'!$B$33)))</f>
        <v/>
      </c>
      <c r="S24" s="11">
        <f>'08_ML_Validation'!J24</f>
        <v/>
      </c>
      <c r="T24" s="11">
        <f>'08_ML_Validation'!K24</f>
        <v/>
      </c>
      <c r="U24" s="11">
        <f>IF('02_Market_Inputs'!Y24="completed", 85, IF('02_Market_Inputs'!Y24="confirmed", 75, IF('02_Market_Inputs'!Y24="pending", 55, 50))) + IF('02_Market_Inputs'!Z24&lt;=1, 20, IF('02_Market_Inputs'!Z24&lt;=2, 12, IF('02_Market_Inputs'!Z24&lt;=3, 6, 0)))</f>
        <v/>
      </c>
      <c r="V24" s="11">
        <f>IF(ISBLANK('02_Market_Inputs'!X24), 50, MIN(100, MAX(0, 50 + '02_Market_Inputs'!X24 * 100)))</f>
        <v/>
      </c>
      <c r="W24" s="11">
        <f>IF(ISBLANK('02_Market_Inputs'!AA24), 50, MIN(100, MAX(0, 50 + '02_Market_Inputs'!AA24 * 15)))</f>
        <v/>
      </c>
    </row>
    <row r="25">
      <c r="A25" s="16">
        <f>'02_Market_Inputs'!A25</f>
        <v/>
      </c>
      <c r="B25" s="16">
        <f>'02_Market_Inputs'!B25</f>
        <v/>
      </c>
      <c r="C25" s="15">
        <f>IF(ISBLANK('02_Market_Inputs'!D25), 50, MIN(100, MAX(0, 100 - ('02_Market_Inputs'!D25 - 1.0) * 14.0)))</f>
        <v/>
      </c>
      <c r="D25" s="15">
        <f>IF(ISBLANK('02_Market_Inputs'!E25), 50, MIN(100, MAX(0, 50 - '02_Market_Inputs'!E25 * 100)))</f>
        <v/>
      </c>
      <c r="E25" s="15">
        <f>IF(ISBLANK('02_Market_Inputs'!H25), 50, MIN(100, MAX(0, 50 - '02_Market_Inputs'!H25 * 15)))</f>
        <v/>
      </c>
      <c r="F25" s="15">
        <f>IF(ISBLANK('02_Market_Inputs'!I25), 50, MIN(100, MAX(0, 80 - ABS('02_Market_Inputs'!I25 - 12) * 4)))</f>
        <v/>
      </c>
      <c r="G25" s="15">
        <f>IF(ISBLANK('02_Market_Inputs'!F25), 50, (MIN(100, MAX(0, 100 - ('02_Market_Inputs'!F25 - 2.5) * 28.5)) + MIN(100, MAX(0, ('02_Market_Inputs'!G25 + 0.2) * 58))) / 2)</f>
        <v/>
      </c>
      <c r="H25" s="15">
        <f>IF(ISBLANK('02_Market_Inputs'!J25), 50, MIN(100, MAX(0, 50 - '02_Market_Inputs'!J25 * 20)))</f>
        <v/>
      </c>
      <c r="I25" s="15">
        <f>IF(ISBLANK('02_Market_Inputs'!K25), 50, MIN(100, MAX(0, 100 - '02_Market_Inputs'!K25 * 20)))</f>
        <v/>
      </c>
      <c r="J25" s="15">
        <f>IF(ISBLANK('02_Market_Inputs'!L25), 50, MIN(100, MAX(0, 50 + '02_Market_Inputs'!L25 * 15)))</f>
        <v/>
      </c>
      <c r="K25" s="15">
        <f>IF(ISBLANK('02_Market_Inputs'!N25), 50, MIN(100, MAX(0, 50 + '02_Market_Inputs'!N25 * 15)))</f>
        <v/>
      </c>
      <c r="L25" s="15">
        <f>IF(OR(ISBLANK('02_Market_Inputs'!O25), '02_Market_Inputs'!O25&lt;=0), 50, MIN(100, MAX(0, 100 - '02_Market_Inputs'!O25)))</f>
        <v/>
      </c>
      <c r="M25" s="15">
        <f>IF(ISBLANK('02_Market_Inputs'!S25), 50, MIN(100, MAX(0, 50 - '02_Market_Inputs'!S25 * 25)))</f>
        <v/>
      </c>
      <c r="N25" s="15">
        <f>IF(ISBLANK('02_Market_Inputs'!U25), 50, MIN(100, MAX(0, 50 - '02_Market_Inputs'!U25 * 25)))</f>
        <v/>
      </c>
      <c r="O25" s="15">
        <f>IF(ISBLANK('02_Market_Inputs'!V25), 50, MIN(100, MAX(0, 100 - '02_Market_Inputs'!V25)))</f>
        <v/>
      </c>
      <c r="P25" s="15">
        <f>IF(ISBLANK('02_Market_Inputs'!W25), 50, MIN(100, MAX(0, 50 + '02_Market_Inputs'!W25 * 25)))</f>
        <v/>
      </c>
      <c r="Q25" s="15">
        <f>IF(ISBLANK('06_MLR_Regression'!F25), 50, MIN(100, MAX(0, 50 + '06_MLR_Regression'!F25 * '01_Model_Config'!$B$32)))</f>
        <v/>
      </c>
      <c r="R25" s="15">
        <f>IF(ISBLANK('07_VAR_Granger'!J25), 50, MIN(100, MAX(0, 50 + '07_VAR_Granger'!J25 * '01_Model_Config'!$B$33)))</f>
        <v/>
      </c>
      <c r="S25" s="15">
        <f>'08_ML_Validation'!J25</f>
        <v/>
      </c>
      <c r="T25" s="15">
        <f>'08_ML_Validation'!K25</f>
        <v/>
      </c>
      <c r="U25" s="15">
        <f>IF('02_Market_Inputs'!Y25="completed", 85, IF('02_Market_Inputs'!Y25="confirmed", 75, IF('02_Market_Inputs'!Y25="pending", 55, 50))) + IF('02_Market_Inputs'!Z25&lt;=1, 20, IF('02_Market_Inputs'!Z25&lt;=2, 12, IF('02_Market_Inputs'!Z25&lt;=3, 6, 0)))</f>
        <v/>
      </c>
      <c r="V25" s="15">
        <f>IF(ISBLANK('02_Market_Inputs'!X25), 50, MIN(100, MAX(0, 50 + '02_Market_Inputs'!X25 * 100)))</f>
        <v/>
      </c>
      <c r="W25" s="15">
        <f>IF(ISBLANK('02_Market_Inputs'!AA25), 50, MIN(100, MAX(0, 50 + '02_Market_Inputs'!AA25 * 15)))</f>
        <v/>
      </c>
    </row>
    <row r="26">
      <c r="A26" s="12">
        <f>'02_Market_Inputs'!A26</f>
        <v/>
      </c>
      <c r="B26" s="12">
        <f>'02_Market_Inputs'!B26</f>
        <v/>
      </c>
      <c r="C26" s="11">
        <f>IF(ISBLANK('02_Market_Inputs'!D26), 50, MIN(100, MAX(0, 100 - ('02_Market_Inputs'!D26 - 1.0) * 14.0)))</f>
        <v/>
      </c>
      <c r="D26" s="11">
        <f>IF(ISBLANK('02_Market_Inputs'!E26), 50, MIN(100, MAX(0, 50 - '02_Market_Inputs'!E26 * 100)))</f>
        <v/>
      </c>
      <c r="E26" s="11">
        <f>IF(ISBLANK('02_Market_Inputs'!H26), 50, MIN(100, MAX(0, 50 - '02_Market_Inputs'!H26 * 15)))</f>
        <v/>
      </c>
      <c r="F26" s="11">
        <f>IF(ISBLANK('02_Market_Inputs'!I26), 50, MIN(100, MAX(0, 80 - ABS('02_Market_Inputs'!I26 - 12) * 4)))</f>
        <v/>
      </c>
      <c r="G26" s="11">
        <f>IF(ISBLANK('02_Market_Inputs'!F26), 50, (MIN(100, MAX(0, 100 - ('02_Market_Inputs'!F26 - 2.5) * 28.5)) + MIN(100, MAX(0, ('02_Market_Inputs'!G26 + 0.2) * 58))) / 2)</f>
        <v/>
      </c>
      <c r="H26" s="11">
        <f>IF(ISBLANK('02_Market_Inputs'!J26), 50, MIN(100, MAX(0, 50 - '02_Market_Inputs'!J26 * 20)))</f>
        <v/>
      </c>
      <c r="I26" s="11">
        <f>IF(ISBLANK('02_Market_Inputs'!K26), 50, MIN(100, MAX(0, 100 - '02_Market_Inputs'!K26 * 20)))</f>
        <v/>
      </c>
      <c r="J26" s="11">
        <f>IF(ISBLANK('02_Market_Inputs'!L26), 50, MIN(100, MAX(0, 50 + '02_Market_Inputs'!L26 * 15)))</f>
        <v/>
      </c>
      <c r="K26" s="11">
        <f>IF(ISBLANK('02_Market_Inputs'!N26), 50, MIN(100, MAX(0, 50 + '02_Market_Inputs'!N26 * 15)))</f>
        <v/>
      </c>
      <c r="L26" s="11">
        <f>IF(OR(ISBLANK('02_Market_Inputs'!O26), '02_Market_Inputs'!O26&lt;=0), 50, MIN(100, MAX(0, 100 - '02_Market_Inputs'!O26)))</f>
        <v/>
      </c>
      <c r="M26" s="11">
        <f>IF(ISBLANK('02_Market_Inputs'!S26), 50, MIN(100, MAX(0, 50 - '02_Market_Inputs'!S26 * 25)))</f>
        <v/>
      </c>
      <c r="N26" s="11">
        <f>IF(ISBLANK('02_Market_Inputs'!U26), 50, MIN(100, MAX(0, 50 - '02_Market_Inputs'!U26 * 25)))</f>
        <v/>
      </c>
      <c r="O26" s="11">
        <f>IF(ISBLANK('02_Market_Inputs'!V26), 50, MIN(100, MAX(0, 100 - '02_Market_Inputs'!V26)))</f>
        <v/>
      </c>
      <c r="P26" s="11">
        <f>IF(ISBLANK('02_Market_Inputs'!W26), 50, MIN(100, MAX(0, 50 + '02_Market_Inputs'!W26 * 25)))</f>
        <v/>
      </c>
      <c r="Q26" s="11">
        <f>IF(ISBLANK('06_MLR_Regression'!F26), 50, MIN(100, MAX(0, 50 + '06_MLR_Regression'!F26 * '01_Model_Config'!$B$32)))</f>
        <v/>
      </c>
      <c r="R26" s="11">
        <f>IF(ISBLANK('07_VAR_Granger'!J26), 50, MIN(100, MAX(0, 50 + '07_VAR_Granger'!J26 * '01_Model_Config'!$B$33)))</f>
        <v/>
      </c>
      <c r="S26" s="11">
        <f>'08_ML_Validation'!J26</f>
        <v/>
      </c>
      <c r="T26" s="11">
        <f>'08_ML_Validation'!K26</f>
        <v/>
      </c>
      <c r="U26" s="11">
        <f>IF('02_Market_Inputs'!Y26="completed", 85, IF('02_Market_Inputs'!Y26="confirmed", 75, IF('02_Market_Inputs'!Y26="pending", 55, 50))) + IF('02_Market_Inputs'!Z26&lt;=1, 20, IF('02_Market_Inputs'!Z26&lt;=2, 12, IF('02_Market_Inputs'!Z26&lt;=3, 6, 0)))</f>
        <v/>
      </c>
      <c r="V26" s="11">
        <f>IF(ISBLANK('02_Market_Inputs'!X26), 50, MIN(100, MAX(0, 50 + '02_Market_Inputs'!X26 * 100)))</f>
        <v/>
      </c>
      <c r="W26" s="11">
        <f>IF(ISBLANK('02_Market_Inputs'!AA26), 50, MIN(100, MAX(0, 50 + '02_Market_Inputs'!AA26 * 15)))</f>
        <v/>
      </c>
    </row>
    <row r="27">
      <c r="A27" s="16">
        <f>'02_Market_Inputs'!A27</f>
        <v/>
      </c>
      <c r="B27" s="16">
        <f>'02_Market_Inputs'!B27</f>
        <v/>
      </c>
      <c r="C27" s="15">
        <f>IF(ISBLANK('02_Market_Inputs'!D27), 50, MIN(100, MAX(0, 100 - ('02_Market_Inputs'!D27 - 1.0) * 14.0)))</f>
        <v/>
      </c>
      <c r="D27" s="15">
        <f>IF(ISBLANK('02_Market_Inputs'!E27), 50, MIN(100, MAX(0, 50 - '02_Market_Inputs'!E27 * 100)))</f>
        <v/>
      </c>
      <c r="E27" s="15">
        <f>IF(ISBLANK('02_Market_Inputs'!H27), 50, MIN(100, MAX(0, 50 - '02_Market_Inputs'!H27 * 15)))</f>
        <v/>
      </c>
      <c r="F27" s="15">
        <f>IF(ISBLANK('02_Market_Inputs'!I27), 50, MIN(100, MAX(0, 80 - ABS('02_Market_Inputs'!I27 - 12) * 4)))</f>
        <v/>
      </c>
      <c r="G27" s="15">
        <f>IF(ISBLANK('02_Market_Inputs'!F27), 50, (MIN(100, MAX(0, 100 - ('02_Market_Inputs'!F27 - 2.5) * 28.5)) + MIN(100, MAX(0, ('02_Market_Inputs'!G27 + 0.2) * 58))) / 2)</f>
        <v/>
      </c>
      <c r="H27" s="15">
        <f>IF(ISBLANK('02_Market_Inputs'!J27), 50, MIN(100, MAX(0, 50 - '02_Market_Inputs'!J27 * 20)))</f>
        <v/>
      </c>
      <c r="I27" s="15">
        <f>IF(ISBLANK('02_Market_Inputs'!K27), 50, MIN(100, MAX(0, 100 - '02_Market_Inputs'!K27 * 20)))</f>
        <v/>
      </c>
      <c r="J27" s="15">
        <f>IF(ISBLANK('02_Market_Inputs'!L27), 50, MIN(100, MAX(0, 50 + '02_Market_Inputs'!L27 * 15)))</f>
        <v/>
      </c>
      <c r="K27" s="15">
        <f>IF(ISBLANK('02_Market_Inputs'!N27), 50, MIN(100, MAX(0, 50 + '02_Market_Inputs'!N27 * 15)))</f>
        <v/>
      </c>
      <c r="L27" s="15">
        <f>IF(OR(ISBLANK('02_Market_Inputs'!O27), '02_Market_Inputs'!O27&lt;=0), 50, MIN(100, MAX(0, 100 - '02_Market_Inputs'!O27)))</f>
        <v/>
      </c>
      <c r="M27" s="15">
        <f>IF(ISBLANK('02_Market_Inputs'!S27), 50, MIN(100, MAX(0, 50 - '02_Market_Inputs'!S27 * 25)))</f>
        <v/>
      </c>
      <c r="N27" s="15">
        <f>IF(ISBLANK('02_Market_Inputs'!U27), 50, MIN(100, MAX(0, 50 - '02_Market_Inputs'!U27 * 25)))</f>
        <v/>
      </c>
      <c r="O27" s="15">
        <f>IF(ISBLANK('02_Market_Inputs'!V27), 50, MIN(100, MAX(0, 100 - '02_Market_Inputs'!V27)))</f>
        <v/>
      </c>
      <c r="P27" s="15">
        <f>IF(ISBLANK('02_Market_Inputs'!W27), 50, MIN(100, MAX(0, 50 + '02_Market_Inputs'!W27 * 25)))</f>
        <v/>
      </c>
      <c r="Q27" s="15">
        <f>IF(ISBLANK('06_MLR_Regression'!F27), 50, MIN(100, MAX(0, 50 + '06_MLR_Regression'!F27 * '01_Model_Config'!$B$32)))</f>
        <v/>
      </c>
      <c r="R27" s="15">
        <f>IF(ISBLANK('07_VAR_Granger'!J27), 50, MIN(100, MAX(0, 50 + '07_VAR_Granger'!J27 * '01_Model_Config'!$B$33)))</f>
        <v/>
      </c>
      <c r="S27" s="15">
        <f>'08_ML_Validation'!J27</f>
        <v/>
      </c>
      <c r="T27" s="15">
        <f>'08_ML_Validation'!K27</f>
        <v/>
      </c>
      <c r="U27" s="15">
        <f>IF('02_Market_Inputs'!Y27="completed", 85, IF('02_Market_Inputs'!Y27="confirmed", 75, IF('02_Market_Inputs'!Y27="pending", 55, 50))) + IF('02_Market_Inputs'!Z27&lt;=1, 20, IF('02_Market_Inputs'!Z27&lt;=2, 12, IF('02_Market_Inputs'!Z27&lt;=3, 6, 0)))</f>
        <v/>
      </c>
      <c r="V27" s="15">
        <f>IF(ISBLANK('02_Market_Inputs'!X27), 50, MIN(100, MAX(0, 50 + '02_Market_Inputs'!X27 * 100)))</f>
        <v/>
      </c>
      <c r="W27" s="15">
        <f>IF(ISBLANK('02_Market_Inputs'!AA27), 50, MIN(100, MAX(0, 50 + '02_Market_Inputs'!AA27 * 15)))</f>
        <v/>
      </c>
    </row>
    <row r="28">
      <c r="A28" s="12">
        <f>'02_Market_Inputs'!A28</f>
        <v/>
      </c>
      <c r="B28" s="12">
        <f>'02_Market_Inputs'!B28</f>
        <v/>
      </c>
      <c r="C28" s="11">
        <f>IF(ISBLANK('02_Market_Inputs'!D28), 50, MIN(100, MAX(0, 100 - ('02_Market_Inputs'!D28 - 1.0) * 14.0)))</f>
        <v/>
      </c>
      <c r="D28" s="11">
        <f>IF(ISBLANK('02_Market_Inputs'!E28), 50, MIN(100, MAX(0, 50 - '02_Market_Inputs'!E28 * 100)))</f>
        <v/>
      </c>
      <c r="E28" s="11">
        <f>IF(ISBLANK('02_Market_Inputs'!H28), 50, MIN(100, MAX(0, 50 - '02_Market_Inputs'!H28 * 15)))</f>
        <v/>
      </c>
      <c r="F28" s="11">
        <f>IF(ISBLANK('02_Market_Inputs'!I28), 50, MIN(100, MAX(0, 80 - ABS('02_Market_Inputs'!I28 - 12) * 4)))</f>
        <v/>
      </c>
      <c r="G28" s="11">
        <f>IF(ISBLANK('02_Market_Inputs'!F28), 50, (MIN(100, MAX(0, 100 - ('02_Market_Inputs'!F28 - 2.5) * 28.5)) + MIN(100, MAX(0, ('02_Market_Inputs'!G28 + 0.2) * 58))) / 2)</f>
        <v/>
      </c>
      <c r="H28" s="11">
        <f>IF(ISBLANK('02_Market_Inputs'!J28), 50, MIN(100, MAX(0, 50 - '02_Market_Inputs'!J28 * 20)))</f>
        <v/>
      </c>
      <c r="I28" s="11">
        <f>IF(ISBLANK('02_Market_Inputs'!K28), 50, MIN(100, MAX(0, 100 - '02_Market_Inputs'!K28 * 20)))</f>
        <v/>
      </c>
      <c r="J28" s="11">
        <f>IF(ISBLANK('02_Market_Inputs'!L28), 50, MIN(100, MAX(0, 50 + '02_Market_Inputs'!L28 * 15)))</f>
        <v/>
      </c>
      <c r="K28" s="11">
        <f>IF(ISBLANK('02_Market_Inputs'!N28), 50, MIN(100, MAX(0, 50 + '02_Market_Inputs'!N28 * 15)))</f>
        <v/>
      </c>
      <c r="L28" s="11">
        <f>IF(OR(ISBLANK('02_Market_Inputs'!O28), '02_Market_Inputs'!O28&lt;=0), 50, MIN(100, MAX(0, 100 - '02_Market_Inputs'!O28)))</f>
        <v/>
      </c>
      <c r="M28" s="11">
        <f>IF(ISBLANK('02_Market_Inputs'!S28), 50, MIN(100, MAX(0, 50 - '02_Market_Inputs'!S28 * 25)))</f>
        <v/>
      </c>
      <c r="N28" s="11">
        <f>IF(ISBLANK('02_Market_Inputs'!U28), 50, MIN(100, MAX(0, 50 - '02_Market_Inputs'!U28 * 25)))</f>
        <v/>
      </c>
      <c r="O28" s="11">
        <f>IF(ISBLANK('02_Market_Inputs'!V28), 50, MIN(100, MAX(0, 100 - '02_Market_Inputs'!V28)))</f>
        <v/>
      </c>
      <c r="P28" s="11">
        <f>IF(ISBLANK('02_Market_Inputs'!W28), 50, MIN(100, MAX(0, 50 + '02_Market_Inputs'!W28 * 25)))</f>
        <v/>
      </c>
      <c r="Q28" s="11">
        <f>IF(ISBLANK('06_MLR_Regression'!F28), 50, MIN(100, MAX(0, 50 + '06_MLR_Regression'!F28 * '01_Model_Config'!$B$32)))</f>
        <v/>
      </c>
      <c r="R28" s="11">
        <f>IF(ISBLANK('07_VAR_Granger'!J28), 50, MIN(100, MAX(0, 50 + '07_VAR_Granger'!J28 * '01_Model_Config'!$B$33)))</f>
        <v/>
      </c>
      <c r="S28" s="11">
        <f>'08_ML_Validation'!J28</f>
        <v/>
      </c>
      <c r="T28" s="11">
        <f>'08_ML_Validation'!K28</f>
        <v/>
      </c>
      <c r="U28" s="11">
        <f>IF('02_Market_Inputs'!Y28="completed", 85, IF('02_Market_Inputs'!Y28="confirmed", 75, IF('02_Market_Inputs'!Y28="pending", 55, 50))) + IF('02_Market_Inputs'!Z28&lt;=1, 20, IF('02_Market_Inputs'!Z28&lt;=2, 12, IF('02_Market_Inputs'!Z28&lt;=3, 6, 0)))</f>
        <v/>
      </c>
      <c r="V28" s="11">
        <f>IF(ISBLANK('02_Market_Inputs'!X28), 50, MIN(100, MAX(0, 50 + '02_Market_Inputs'!X28 * 100)))</f>
        <v/>
      </c>
      <c r="W28" s="11">
        <f>IF(ISBLANK('02_Market_Inputs'!AA28), 50, MIN(100, MAX(0, 50 + '02_Market_Inputs'!AA28 * 15)))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1" workbookViewId="0">
      <selection activeCell="A1" sqref="A1"/>
    </sheetView>
  </sheetViews>
  <sheetFormatPr baseColWidth="8" defaultRowHeight="15"/>
  <cols>
    <col width="137" customWidth="1" min="1" max="1"/>
    <col width="13" customWidth="1" min="2" max="2"/>
    <col width="22" customWidth="1" min="3" max="3"/>
    <col width="23" customWidth="1" min="4" max="4"/>
    <col width="26" customWidth="1" min="5" max="5"/>
    <col width="28" customWidth="1" min="6" max="6"/>
    <col width="28" customWidth="1" min="7" max="7"/>
    <col width="27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39" customWidth="1" min="15" max="15"/>
  </cols>
  <sheetData>
    <row r="1">
      <c r="A1" s="1" t="inlineStr">
        <is>
          <t>VN-INDEX QUANTITATIVE MODEL — SIX PILLARS CALCULATION (2021-2026)</t>
        </is>
      </c>
    </row>
    <row r="2">
      <c r="A2" s="2" t="inlineStr">
        <is>
          <t>Pillar raw scores, weighted scores, and composite total calculated via EXCEL FORMULAS from '03_Factor_SubScores' and '01_Model_Config'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Pillar 1: Macro Raw</t>
        </is>
      </c>
      <c r="D4" s="8" t="inlineStr">
        <is>
          <t>Pillar 2: Global Raw</t>
        </is>
      </c>
      <c r="E4" s="8" t="inlineStr">
        <is>
          <t>Pillar 3: Valuation Raw</t>
        </is>
      </c>
      <c r="F4" s="8" t="inlineStr">
        <is>
          <t>Pillar 4: Quant Model Raw</t>
        </is>
      </c>
      <c r="G4" s="8" t="inlineStr">
        <is>
          <t>Pillar 5: ML Forecast Raw</t>
        </is>
      </c>
      <c r="H4" s="8" t="inlineStr">
        <is>
          <t>Pillar 6: Mkt Struct Raw</t>
        </is>
      </c>
      <c r="I4" s="8" t="inlineStr">
        <is>
          <t>Pillar 1 Weighted (25%)</t>
        </is>
      </c>
      <c r="J4" s="8" t="inlineStr">
        <is>
          <t>Pillar 2 Weighted (20%)</t>
        </is>
      </c>
      <c r="K4" s="8" t="inlineStr">
        <is>
          <t>Pillar 3 Weighted (20%)</t>
        </is>
      </c>
      <c r="L4" s="8" t="inlineStr">
        <is>
          <t>Pillar 4 Weighted (15%)</t>
        </is>
      </c>
      <c r="M4" s="8" t="inlineStr">
        <is>
          <t>Pillar 5 Weighted (10%)</t>
        </is>
      </c>
      <c r="N4" s="8" t="inlineStr">
        <is>
          <t>Pillar 6 Weighted (10%)</t>
        </is>
      </c>
      <c r="O4" s="8" t="inlineStr">
        <is>
          <t>Total Weighted Score (Raw Composite)</t>
        </is>
      </c>
    </row>
    <row r="5">
      <c r="A5" s="16">
        <f>'02_Market_Inputs'!A5</f>
        <v/>
      </c>
      <c r="B5" s="16">
        <f>'02_Market_Inputs'!B5</f>
        <v/>
      </c>
      <c r="C5" s="15">
        <f>AVERAGE('03_Factor_SubScores'!C5:G5)</f>
        <v/>
      </c>
      <c r="D5" s="15">
        <f>IF('02_Market_Inputs'!O5&gt;0, IF('02_Market_Inputs'!N5&lt;-2.0, MIN(20, AVERAGE('03_Factor_SubScores'!H5:L5)), AVERAGE('03_Factor_SubScores'!H5:L5)), IF('02_Market_Inputs'!N5&lt;-2.0, MIN(20, AVERAGE('03_Factor_SubScores'!H5:K5)), AVERAGE('03_Factor_SubScores'!H5:K5)))</f>
        <v/>
      </c>
      <c r="E5" s="15">
        <f>AVERAGE('03_Factor_SubScores'!M5:P5)</f>
        <v/>
      </c>
      <c r="F5" s="15">
        <f>MIN(100, MAX(0, AVERAGE('03_Factor_SubScores'!Q5:R5) + MIN(10, '06_MLR_Regression'!G5) + MIN(15, '07_VAR_Granger'!I5)))</f>
        <v/>
      </c>
      <c r="G5" s="15">
        <f>'03_Factor_SubScores'!S5 * 0.3 + '03_Factor_SubScores'!T5 * 0.7</f>
        <v/>
      </c>
      <c r="H5" s="15">
        <f>AVERAGE('03_Factor_SubScores'!U5:W5)</f>
        <v/>
      </c>
      <c r="I5" s="15">
        <f>C5 * '01_Model_Config'!$C$6</f>
        <v/>
      </c>
      <c r="J5" s="15">
        <f>D5 * '01_Model_Config'!$C$7</f>
        <v/>
      </c>
      <c r="K5" s="15">
        <f>E5 * '01_Model_Config'!$C$8</f>
        <v/>
      </c>
      <c r="L5" s="15">
        <f>F5 * '01_Model_Config'!$C$9</f>
        <v/>
      </c>
      <c r="M5" s="15">
        <f>G5 * '01_Model_Config'!$C$10</f>
        <v/>
      </c>
      <c r="N5" s="15">
        <f>H5 * '01_Model_Config'!$C$11</f>
        <v/>
      </c>
      <c r="O5" s="30">
        <f>SUM(I5:N5)</f>
        <v/>
      </c>
    </row>
    <row r="6">
      <c r="A6" s="12">
        <f>'02_Market_Inputs'!A6</f>
        <v/>
      </c>
      <c r="B6" s="12">
        <f>'02_Market_Inputs'!B6</f>
        <v/>
      </c>
      <c r="C6" s="11">
        <f>AVERAGE('03_Factor_SubScores'!C6:G6)</f>
        <v/>
      </c>
      <c r="D6" s="11">
        <f>IF('02_Market_Inputs'!O6&gt;0, IF('02_Market_Inputs'!N6&lt;-2.0, MIN(20, AVERAGE('03_Factor_SubScores'!H6:L6)), AVERAGE('03_Factor_SubScores'!H6:L6)), IF('02_Market_Inputs'!N6&lt;-2.0, MIN(20, AVERAGE('03_Factor_SubScores'!H6:K6)), AVERAGE('03_Factor_SubScores'!H6:K6)))</f>
        <v/>
      </c>
      <c r="E6" s="11">
        <f>AVERAGE('03_Factor_SubScores'!M6:P6)</f>
        <v/>
      </c>
      <c r="F6" s="11">
        <f>MIN(100, MAX(0, AVERAGE('03_Factor_SubScores'!Q6:R6) + MIN(10, '06_MLR_Regression'!G6) + MIN(15, '07_VAR_Granger'!I6)))</f>
        <v/>
      </c>
      <c r="G6" s="11">
        <f>'03_Factor_SubScores'!S6 * 0.3 + '03_Factor_SubScores'!T6 * 0.7</f>
        <v/>
      </c>
      <c r="H6" s="11">
        <f>AVERAGE('03_Factor_SubScores'!U6:W6)</f>
        <v/>
      </c>
      <c r="I6" s="11">
        <f>C6 * '01_Model_Config'!$C$6</f>
        <v/>
      </c>
      <c r="J6" s="11">
        <f>D6 * '01_Model_Config'!$C$7</f>
        <v/>
      </c>
      <c r="K6" s="11">
        <f>E6 * '01_Model_Config'!$C$8</f>
        <v/>
      </c>
      <c r="L6" s="11">
        <f>F6 * '01_Model_Config'!$C$9</f>
        <v/>
      </c>
      <c r="M6" s="11">
        <f>G6 * '01_Model_Config'!$C$10</f>
        <v/>
      </c>
      <c r="N6" s="11">
        <f>H6 * '01_Model_Config'!$C$11</f>
        <v/>
      </c>
      <c r="O6" s="30">
        <f>SUM(I6:N6)</f>
        <v/>
      </c>
    </row>
    <row r="7">
      <c r="A7" s="16">
        <f>'02_Market_Inputs'!A7</f>
        <v/>
      </c>
      <c r="B7" s="16">
        <f>'02_Market_Inputs'!B7</f>
        <v/>
      </c>
      <c r="C7" s="15">
        <f>AVERAGE('03_Factor_SubScores'!C7:G7)</f>
        <v/>
      </c>
      <c r="D7" s="15">
        <f>IF('02_Market_Inputs'!O7&gt;0, IF('02_Market_Inputs'!N7&lt;-2.0, MIN(20, AVERAGE('03_Factor_SubScores'!H7:L7)), AVERAGE('03_Factor_SubScores'!H7:L7)), IF('02_Market_Inputs'!N7&lt;-2.0, MIN(20, AVERAGE('03_Factor_SubScores'!H7:K7)), AVERAGE('03_Factor_SubScores'!H7:K7)))</f>
        <v/>
      </c>
      <c r="E7" s="15">
        <f>AVERAGE('03_Factor_SubScores'!M7:P7)</f>
        <v/>
      </c>
      <c r="F7" s="15">
        <f>MIN(100, MAX(0, AVERAGE('03_Factor_SubScores'!Q7:R7) + MIN(10, '06_MLR_Regression'!G7) + MIN(15, '07_VAR_Granger'!I7)))</f>
        <v/>
      </c>
      <c r="G7" s="15">
        <f>'03_Factor_SubScores'!S7 * 0.3 + '03_Factor_SubScores'!T7 * 0.7</f>
        <v/>
      </c>
      <c r="H7" s="15">
        <f>AVERAGE('03_Factor_SubScores'!U7:W7)</f>
        <v/>
      </c>
      <c r="I7" s="15">
        <f>C7 * '01_Model_Config'!$C$6</f>
        <v/>
      </c>
      <c r="J7" s="15">
        <f>D7 * '01_Model_Config'!$C$7</f>
        <v/>
      </c>
      <c r="K7" s="15">
        <f>E7 * '01_Model_Config'!$C$8</f>
        <v/>
      </c>
      <c r="L7" s="15">
        <f>F7 * '01_Model_Config'!$C$9</f>
        <v/>
      </c>
      <c r="M7" s="15">
        <f>G7 * '01_Model_Config'!$C$10</f>
        <v/>
      </c>
      <c r="N7" s="15">
        <f>H7 * '01_Model_Config'!$C$11</f>
        <v/>
      </c>
      <c r="O7" s="30">
        <f>SUM(I7:N7)</f>
        <v/>
      </c>
    </row>
    <row r="8">
      <c r="A8" s="12">
        <f>'02_Market_Inputs'!A8</f>
        <v/>
      </c>
      <c r="B8" s="12">
        <f>'02_Market_Inputs'!B8</f>
        <v/>
      </c>
      <c r="C8" s="11">
        <f>AVERAGE('03_Factor_SubScores'!C8:G8)</f>
        <v/>
      </c>
      <c r="D8" s="11">
        <f>IF('02_Market_Inputs'!O8&gt;0, IF('02_Market_Inputs'!N8&lt;-2.0, MIN(20, AVERAGE('03_Factor_SubScores'!H8:L8)), AVERAGE('03_Factor_SubScores'!H8:L8)), IF('02_Market_Inputs'!N8&lt;-2.0, MIN(20, AVERAGE('03_Factor_SubScores'!H8:K8)), AVERAGE('03_Factor_SubScores'!H8:K8)))</f>
        <v/>
      </c>
      <c r="E8" s="11">
        <f>AVERAGE('03_Factor_SubScores'!M8:P8)</f>
        <v/>
      </c>
      <c r="F8" s="11">
        <f>MIN(100, MAX(0, AVERAGE('03_Factor_SubScores'!Q8:R8) + MIN(10, '06_MLR_Regression'!G8) + MIN(15, '07_VAR_Granger'!I8)))</f>
        <v/>
      </c>
      <c r="G8" s="11">
        <f>'03_Factor_SubScores'!S8 * 0.3 + '03_Factor_SubScores'!T8 * 0.7</f>
        <v/>
      </c>
      <c r="H8" s="11">
        <f>AVERAGE('03_Factor_SubScores'!U8:W8)</f>
        <v/>
      </c>
      <c r="I8" s="11">
        <f>C8 * '01_Model_Config'!$C$6</f>
        <v/>
      </c>
      <c r="J8" s="11">
        <f>D8 * '01_Model_Config'!$C$7</f>
        <v/>
      </c>
      <c r="K8" s="11">
        <f>E8 * '01_Model_Config'!$C$8</f>
        <v/>
      </c>
      <c r="L8" s="11">
        <f>F8 * '01_Model_Config'!$C$9</f>
        <v/>
      </c>
      <c r="M8" s="11">
        <f>G8 * '01_Model_Config'!$C$10</f>
        <v/>
      </c>
      <c r="N8" s="11">
        <f>H8 * '01_Model_Config'!$C$11</f>
        <v/>
      </c>
      <c r="O8" s="30">
        <f>SUM(I8:N8)</f>
        <v/>
      </c>
    </row>
    <row r="9">
      <c r="A9" s="16">
        <f>'02_Market_Inputs'!A9</f>
        <v/>
      </c>
      <c r="B9" s="16">
        <f>'02_Market_Inputs'!B9</f>
        <v/>
      </c>
      <c r="C9" s="15">
        <f>AVERAGE('03_Factor_SubScores'!C9:G9)</f>
        <v/>
      </c>
      <c r="D9" s="15">
        <f>IF('02_Market_Inputs'!O9&gt;0, IF('02_Market_Inputs'!N9&lt;-2.0, MIN(20, AVERAGE('03_Factor_SubScores'!H9:L9)), AVERAGE('03_Factor_SubScores'!H9:L9)), IF('02_Market_Inputs'!N9&lt;-2.0, MIN(20, AVERAGE('03_Factor_SubScores'!H9:K9)), AVERAGE('03_Factor_SubScores'!H9:K9)))</f>
        <v/>
      </c>
      <c r="E9" s="15">
        <f>AVERAGE('03_Factor_SubScores'!M9:P9)</f>
        <v/>
      </c>
      <c r="F9" s="15">
        <f>MIN(100, MAX(0, AVERAGE('03_Factor_SubScores'!Q9:R9) + MIN(10, '06_MLR_Regression'!G9) + MIN(15, '07_VAR_Granger'!I9)))</f>
        <v/>
      </c>
      <c r="G9" s="15">
        <f>'03_Factor_SubScores'!S9 * 0.3 + '03_Factor_SubScores'!T9 * 0.7</f>
        <v/>
      </c>
      <c r="H9" s="15">
        <f>AVERAGE('03_Factor_SubScores'!U9:W9)</f>
        <v/>
      </c>
      <c r="I9" s="15">
        <f>C9 * '01_Model_Config'!$C$6</f>
        <v/>
      </c>
      <c r="J9" s="15">
        <f>D9 * '01_Model_Config'!$C$7</f>
        <v/>
      </c>
      <c r="K9" s="15">
        <f>E9 * '01_Model_Config'!$C$8</f>
        <v/>
      </c>
      <c r="L9" s="15">
        <f>F9 * '01_Model_Config'!$C$9</f>
        <v/>
      </c>
      <c r="M9" s="15">
        <f>G9 * '01_Model_Config'!$C$10</f>
        <v/>
      </c>
      <c r="N9" s="15">
        <f>H9 * '01_Model_Config'!$C$11</f>
        <v/>
      </c>
      <c r="O9" s="30">
        <f>SUM(I9:N9)</f>
        <v/>
      </c>
    </row>
    <row r="10">
      <c r="A10" s="12">
        <f>'02_Market_Inputs'!A10</f>
        <v/>
      </c>
      <c r="B10" s="12">
        <f>'02_Market_Inputs'!B10</f>
        <v/>
      </c>
      <c r="C10" s="11">
        <f>AVERAGE('03_Factor_SubScores'!C10:G10)</f>
        <v/>
      </c>
      <c r="D10" s="11">
        <f>IF('02_Market_Inputs'!O10&gt;0, IF('02_Market_Inputs'!N10&lt;-2.0, MIN(20, AVERAGE('03_Factor_SubScores'!H10:L10)), AVERAGE('03_Factor_SubScores'!H10:L10)), IF('02_Market_Inputs'!N10&lt;-2.0, MIN(20, AVERAGE('03_Factor_SubScores'!H10:K10)), AVERAGE('03_Factor_SubScores'!H10:K10)))</f>
        <v/>
      </c>
      <c r="E10" s="11">
        <f>AVERAGE('03_Factor_SubScores'!M10:P10)</f>
        <v/>
      </c>
      <c r="F10" s="11">
        <f>MIN(100, MAX(0, AVERAGE('03_Factor_SubScores'!Q10:R10) + MIN(10, '06_MLR_Regression'!G10) + MIN(15, '07_VAR_Granger'!I10)))</f>
        <v/>
      </c>
      <c r="G10" s="11">
        <f>'03_Factor_SubScores'!S10 * 0.3 + '03_Factor_SubScores'!T10 * 0.7</f>
        <v/>
      </c>
      <c r="H10" s="11">
        <f>AVERAGE('03_Factor_SubScores'!U10:W10)</f>
        <v/>
      </c>
      <c r="I10" s="11">
        <f>C10 * '01_Model_Config'!$C$6</f>
        <v/>
      </c>
      <c r="J10" s="11">
        <f>D10 * '01_Model_Config'!$C$7</f>
        <v/>
      </c>
      <c r="K10" s="11">
        <f>E10 * '01_Model_Config'!$C$8</f>
        <v/>
      </c>
      <c r="L10" s="11">
        <f>F10 * '01_Model_Config'!$C$9</f>
        <v/>
      </c>
      <c r="M10" s="11">
        <f>G10 * '01_Model_Config'!$C$10</f>
        <v/>
      </c>
      <c r="N10" s="11">
        <f>H10 * '01_Model_Config'!$C$11</f>
        <v/>
      </c>
      <c r="O10" s="30">
        <f>SUM(I10:N10)</f>
        <v/>
      </c>
    </row>
    <row r="11">
      <c r="A11" s="16">
        <f>'02_Market_Inputs'!A11</f>
        <v/>
      </c>
      <c r="B11" s="16">
        <f>'02_Market_Inputs'!B11</f>
        <v/>
      </c>
      <c r="C11" s="15">
        <f>AVERAGE('03_Factor_SubScores'!C11:G11)</f>
        <v/>
      </c>
      <c r="D11" s="15">
        <f>IF('02_Market_Inputs'!O11&gt;0, IF('02_Market_Inputs'!N11&lt;-2.0, MIN(20, AVERAGE('03_Factor_SubScores'!H11:L11)), AVERAGE('03_Factor_SubScores'!H11:L11)), IF('02_Market_Inputs'!N11&lt;-2.0, MIN(20, AVERAGE('03_Factor_SubScores'!H11:K11)), AVERAGE('03_Factor_SubScores'!H11:K11)))</f>
        <v/>
      </c>
      <c r="E11" s="15">
        <f>AVERAGE('03_Factor_SubScores'!M11:P11)</f>
        <v/>
      </c>
      <c r="F11" s="15">
        <f>MIN(100, MAX(0, AVERAGE('03_Factor_SubScores'!Q11:R11) + MIN(10, '06_MLR_Regression'!G11) + MIN(15, '07_VAR_Granger'!I11)))</f>
        <v/>
      </c>
      <c r="G11" s="15">
        <f>'03_Factor_SubScores'!S11 * 0.3 + '03_Factor_SubScores'!T11 * 0.7</f>
        <v/>
      </c>
      <c r="H11" s="15">
        <f>AVERAGE('03_Factor_SubScores'!U11:W11)</f>
        <v/>
      </c>
      <c r="I11" s="15">
        <f>C11 * '01_Model_Config'!$C$6</f>
        <v/>
      </c>
      <c r="J11" s="15">
        <f>D11 * '01_Model_Config'!$C$7</f>
        <v/>
      </c>
      <c r="K11" s="15">
        <f>E11 * '01_Model_Config'!$C$8</f>
        <v/>
      </c>
      <c r="L11" s="15">
        <f>F11 * '01_Model_Config'!$C$9</f>
        <v/>
      </c>
      <c r="M11" s="15">
        <f>G11 * '01_Model_Config'!$C$10</f>
        <v/>
      </c>
      <c r="N11" s="15">
        <f>H11 * '01_Model_Config'!$C$11</f>
        <v/>
      </c>
      <c r="O11" s="30">
        <f>SUM(I11:N11)</f>
        <v/>
      </c>
    </row>
    <row r="12">
      <c r="A12" s="12">
        <f>'02_Market_Inputs'!A12</f>
        <v/>
      </c>
      <c r="B12" s="12">
        <f>'02_Market_Inputs'!B12</f>
        <v/>
      </c>
      <c r="C12" s="11">
        <f>AVERAGE('03_Factor_SubScores'!C12:G12)</f>
        <v/>
      </c>
      <c r="D12" s="11">
        <f>IF('02_Market_Inputs'!O12&gt;0, IF('02_Market_Inputs'!N12&lt;-2.0, MIN(20, AVERAGE('03_Factor_SubScores'!H12:L12)), AVERAGE('03_Factor_SubScores'!H12:L12)), IF('02_Market_Inputs'!N12&lt;-2.0, MIN(20, AVERAGE('03_Factor_SubScores'!H12:K12)), AVERAGE('03_Factor_SubScores'!H12:K12)))</f>
        <v/>
      </c>
      <c r="E12" s="11">
        <f>AVERAGE('03_Factor_SubScores'!M12:P12)</f>
        <v/>
      </c>
      <c r="F12" s="11">
        <f>MIN(100, MAX(0, AVERAGE('03_Factor_SubScores'!Q12:R12) + MIN(10, '06_MLR_Regression'!G12) + MIN(15, '07_VAR_Granger'!I12)))</f>
        <v/>
      </c>
      <c r="G12" s="11">
        <f>'03_Factor_SubScores'!S12 * 0.3 + '03_Factor_SubScores'!T12 * 0.7</f>
        <v/>
      </c>
      <c r="H12" s="11">
        <f>AVERAGE('03_Factor_SubScores'!U12:W12)</f>
        <v/>
      </c>
      <c r="I12" s="11">
        <f>C12 * '01_Model_Config'!$C$6</f>
        <v/>
      </c>
      <c r="J12" s="11">
        <f>D12 * '01_Model_Config'!$C$7</f>
        <v/>
      </c>
      <c r="K12" s="11">
        <f>E12 * '01_Model_Config'!$C$8</f>
        <v/>
      </c>
      <c r="L12" s="11">
        <f>F12 * '01_Model_Config'!$C$9</f>
        <v/>
      </c>
      <c r="M12" s="11">
        <f>G12 * '01_Model_Config'!$C$10</f>
        <v/>
      </c>
      <c r="N12" s="11">
        <f>H12 * '01_Model_Config'!$C$11</f>
        <v/>
      </c>
      <c r="O12" s="30">
        <f>SUM(I12:N12)</f>
        <v/>
      </c>
    </row>
    <row r="13">
      <c r="A13" s="16">
        <f>'02_Market_Inputs'!A13</f>
        <v/>
      </c>
      <c r="B13" s="16">
        <f>'02_Market_Inputs'!B13</f>
        <v/>
      </c>
      <c r="C13" s="15">
        <f>AVERAGE('03_Factor_SubScores'!C13:G13)</f>
        <v/>
      </c>
      <c r="D13" s="15">
        <f>IF('02_Market_Inputs'!O13&gt;0, IF('02_Market_Inputs'!N13&lt;-2.0, MIN(20, AVERAGE('03_Factor_SubScores'!H13:L13)), AVERAGE('03_Factor_SubScores'!H13:L13)), IF('02_Market_Inputs'!N13&lt;-2.0, MIN(20, AVERAGE('03_Factor_SubScores'!H13:K13)), AVERAGE('03_Factor_SubScores'!H13:K13)))</f>
        <v/>
      </c>
      <c r="E13" s="15">
        <f>AVERAGE('03_Factor_SubScores'!M13:P13)</f>
        <v/>
      </c>
      <c r="F13" s="15">
        <f>MIN(100, MAX(0, AVERAGE('03_Factor_SubScores'!Q13:R13) + MIN(10, '06_MLR_Regression'!G13) + MIN(15, '07_VAR_Granger'!I13)))</f>
        <v/>
      </c>
      <c r="G13" s="15">
        <f>'03_Factor_SubScores'!S13 * 0.3 + '03_Factor_SubScores'!T13 * 0.7</f>
        <v/>
      </c>
      <c r="H13" s="15">
        <f>AVERAGE('03_Factor_SubScores'!U13:W13)</f>
        <v/>
      </c>
      <c r="I13" s="15">
        <f>C13 * '01_Model_Config'!$C$6</f>
        <v/>
      </c>
      <c r="J13" s="15">
        <f>D13 * '01_Model_Config'!$C$7</f>
        <v/>
      </c>
      <c r="K13" s="15">
        <f>E13 * '01_Model_Config'!$C$8</f>
        <v/>
      </c>
      <c r="L13" s="15">
        <f>F13 * '01_Model_Config'!$C$9</f>
        <v/>
      </c>
      <c r="M13" s="15">
        <f>G13 * '01_Model_Config'!$C$10</f>
        <v/>
      </c>
      <c r="N13" s="15">
        <f>H13 * '01_Model_Config'!$C$11</f>
        <v/>
      </c>
      <c r="O13" s="30">
        <f>SUM(I13:N13)</f>
        <v/>
      </c>
    </row>
    <row r="14">
      <c r="A14" s="12">
        <f>'02_Market_Inputs'!A14</f>
        <v/>
      </c>
      <c r="B14" s="12">
        <f>'02_Market_Inputs'!B14</f>
        <v/>
      </c>
      <c r="C14" s="11">
        <f>AVERAGE('03_Factor_SubScores'!C14:G14)</f>
        <v/>
      </c>
      <c r="D14" s="11">
        <f>IF('02_Market_Inputs'!O14&gt;0, IF('02_Market_Inputs'!N14&lt;-2.0, MIN(20, AVERAGE('03_Factor_SubScores'!H14:L14)), AVERAGE('03_Factor_SubScores'!H14:L14)), IF('02_Market_Inputs'!N14&lt;-2.0, MIN(20, AVERAGE('03_Factor_SubScores'!H14:K14)), AVERAGE('03_Factor_SubScores'!H14:K14)))</f>
        <v/>
      </c>
      <c r="E14" s="11">
        <f>AVERAGE('03_Factor_SubScores'!M14:P14)</f>
        <v/>
      </c>
      <c r="F14" s="11">
        <f>MIN(100, MAX(0, AVERAGE('03_Factor_SubScores'!Q14:R14) + MIN(10, '06_MLR_Regression'!G14) + MIN(15, '07_VAR_Granger'!I14)))</f>
        <v/>
      </c>
      <c r="G14" s="11">
        <f>'03_Factor_SubScores'!S14 * 0.3 + '03_Factor_SubScores'!T14 * 0.7</f>
        <v/>
      </c>
      <c r="H14" s="11">
        <f>AVERAGE('03_Factor_SubScores'!U14:W14)</f>
        <v/>
      </c>
      <c r="I14" s="11">
        <f>C14 * '01_Model_Config'!$C$6</f>
        <v/>
      </c>
      <c r="J14" s="11">
        <f>D14 * '01_Model_Config'!$C$7</f>
        <v/>
      </c>
      <c r="K14" s="11">
        <f>E14 * '01_Model_Config'!$C$8</f>
        <v/>
      </c>
      <c r="L14" s="11">
        <f>F14 * '01_Model_Config'!$C$9</f>
        <v/>
      </c>
      <c r="M14" s="11">
        <f>G14 * '01_Model_Config'!$C$10</f>
        <v/>
      </c>
      <c r="N14" s="11">
        <f>H14 * '01_Model_Config'!$C$11</f>
        <v/>
      </c>
      <c r="O14" s="30">
        <f>SUM(I14:N14)</f>
        <v/>
      </c>
    </row>
    <row r="15">
      <c r="A15" s="16">
        <f>'02_Market_Inputs'!A15</f>
        <v/>
      </c>
      <c r="B15" s="16">
        <f>'02_Market_Inputs'!B15</f>
        <v/>
      </c>
      <c r="C15" s="15">
        <f>AVERAGE('03_Factor_SubScores'!C15:G15)</f>
        <v/>
      </c>
      <c r="D15" s="15">
        <f>IF('02_Market_Inputs'!O15&gt;0, IF('02_Market_Inputs'!N15&lt;-2.0, MIN(20, AVERAGE('03_Factor_SubScores'!H15:L15)), AVERAGE('03_Factor_SubScores'!H15:L15)), IF('02_Market_Inputs'!N15&lt;-2.0, MIN(20, AVERAGE('03_Factor_SubScores'!H15:K15)), AVERAGE('03_Factor_SubScores'!H15:K15)))</f>
        <v/>
      </c>
      <c r="E15" s="15">
        <f>AVERAGE('03_Factor_SubScores'!M15:P15)</f>
        <v/>
      </c>
      <c r="F15" s="15">
        <f>MIN(100, MAX(0, AVERAGE('03_Factor_SubScores'!Q15:R15) + MIN(10, '06_MLR_Regression'!G15) + MIN(15, '07_VAR_Granger'!I15)))</f>
        <v/>
      </c>
      <c r="G15" s="15">
        <f>'03_Factor_SubScores'!S15 * 0.3 + '03_Factor_SubScores'!T15 * 0.7</f>
        <v/>
      </c>
      <c r="H15" s="15">
        <f>AVERAGE('03_Factor_SubScores'!U15:W15)</f>
        <v/>
      </c>
      <c r="I15" s="15">
        <f>C15 * '01_Model_Config'!$C$6</f>
        <v/>
      </c>
      <c r="J15" s="15">
        <f>D15 * '01_Model_Config'!$C$7</f>
        <v/>
      </c>
      <c r="K15" s="15">
        <f>E15 * '01_Model_Config'!$C$8</f>
        <v/>
      </c>
      <c r="L15" s="15">
        <f>F15 * '01_Model_Config'!$C$9</f>
        <v/>
      </c>
      <c r="M15" s="15">
        <f>G15 * '01_Model_Config'!$C$10</f>
        <v/>
      </c>
      <c r="N15" s="15">
        <f>H15 * '01_Model_Config'!$C$11</f>
        <v/>
      </c>
      <c r="O15" s="30">
        <f>SUM(I15:N15)</f>
        <v/>
      </c>
    </row>
    <row r="16">
      <c r="A16" s="12">
        <f>'02_Market_Inputs'!A16</f>
        <v/>
      </c>
      <c r="B16" s="12">
        <f>'02_Market_Inputs'!B16</f>
        <v/>
      </c>
      <c r="C16" s="11">
        <f>AVERAGE('03_Factor_SubScores'!C16:G16)</f>
        <v/>
      </c>
      <c r="D16" s="11">
        <f>IF('02_Market_Inputs'!O16&gt;0, IF('02_Market_Inputs'!N16&lt;-2.0, MIN(20, AVERAGE('03_Factor_SubScores'!H16:L16)), AVERAGE('03_Factor_SubScores'!H16:L16)), IF('02_Market_Inputs'!N16&lt;-2.0, MIN(20, AVERAGE('03_Factor_SubScores'!H16:K16)), AVERAGE('03_Factor_SubScores'!H16:K16)))</f>
        <v/>
      </c>
      <c r="E16" s="11">
        <f>AVERAGE('03_Factor_SubScores'!M16:P16)</f>
        <v/>
      </c>
      <c r="F16" s="11">
        <f>MIN(100, MAX(0, AVERAGE('03_Factor_SubScores'!Q16:R16) + MIN(10, '06_MLR_Regression'!G16) + MIN(15, '07_VAR_Granger'!I16)))</f>
        <v/>
      </c>
      <c r="G16" s="11">
        <f>'03_Factor_SubScores'!S16 * 0.3 + '03_Factor_SubScores'!T16 * 0.7</f>
        <v/>
      </c>
      <c r="H16" s="11">
        <f>AVERAGE('03_Factor_SubScores'!U16:W16)</f>
        <v/>
      </c>
      <c r="I16" s="11">
        <f>C16 * '01_Model_Config'!$C$6</f>
        <v/>
      </c>
      <c r="J16" s="11">
        <f>D16 * '01_Model_Config'!$C$7</f>
        <v/>
      </c>
      <c r="K16" s="11">
        <f>E16 * '01_Model_Config'!$C$8</f>
        <v/>
      </c>
      <c r="L16" s="11">
        <f>F16 * '01_Model_Config'!$C$9</f>
        <v/>
      </c>
      <c r="M16" s="11">
        <f>G16 * '01_Model_Config'!$C$10</f>
        <v/>
      </c>
      <c r="N16" s="11">
        <f>H16 * '01_Model_Config'!$C$11</f>
        <v/>
      </c>
      <c r="O16" s="30">
        <f>SUM(I16:N16)</f>
        <v/>
      </c>
    </row>
    <row r="17">
      <c r="A17" s="16">
        <f>'02_Market_Inputs'!A17</f>
        <v/>
      </c>
      <c r="B17" s="16">
        <f>'02_Market_Inputs'!B17</f>
        <v/>
      </c>
      <c r="C17" s="15">
        <f>AVERAGE('03_Factor_SubScores'!C17:G17)</f>
        <v/>
      </c>
      <c r="D17" s="15">
        <f>IF('02_Market_Inputs'!O17&gt;0, IF('02_Market_Inputs'!N17&lt;-2.0, MIN(20, AVERAGE('03_Factor_SubScores'!H17:L17)), AVERAGE('03_Factor_SubScores'!H17:L17)), IF('02_Market_Inputs'!N17&lt;-2.0, MIN(20, AVERAGE('03_Factor_SubScores'!H17:K17)), AVERAGE('03_Factor_SubScores'!H17:K17)))</f>
        <v/>
      </c>
      <c r="E17" s="15">
        <f>AVERAGE('03_Factor_SubScores'!M17:P17)</f>
        <v/>
      </c>
      <c r="F17" s="15">
        <f>MIN(100, MAX(0, AVERAGE('03_Factor_SubScores'!Q17:R17) + MIN(10, '06_MLR_Regression'!G17) + MIN(15, '07_VAR_Granger'!I17)))</f>
        <v/>
      </c>
      <c r="G17" s="15">
        <f>'03_Factor_SubScores'!S17 * 0.3 + '03_Factor_SubScores'!T17 * 0.7</f>
        <v/>
      </c>
      <c r="H17" s="15">
        <f>AVERAGE('03_Factor_SubScores'!U17:W17)</f>
        <v/>
      </c>
      <c r="I17" s="15">
        <f>C17 * '01_Model_Config'!$C$6</f>
        <v/>
      </c>
      <c r="J17" s="15">
        <f>D17 * '01_Model_Config'!$C$7</f>
        <v/>
      </c>
      <c r="K17" s="15">
        <f>E17 * '01_Model_Config'!$C$8</f>
        <v/>
      </c>
      <c r="L17" s="15">
        <f>F17 * '01_Model_Config'!$C$9</f>
        <v/>
      </c>
      <c r="M17" s="15">
        <f>G17 * '01_Model_Config'!$C$10</f>
        <v/>
      </c>
      <c r="N17" s="15">
        <f>H17 * '01_Model_Config'!$C$11</f>
        <v/>
      </c>
      <c r="O17" s="30">
        <f>SUM(I17:N17)</f>
        <v/>
      </c>
    </row>
    <row r="18">
      <c r="A18" s="12">
        <f>'02_Market_Inputs'!A18</f>
        <v/>
      </c>
      <c r="B18" s="12">
        <f>'02_Market_Inputs'!B18</f>
        <v/>
      </c>
      <c r="C18" s="11">
        <f>AVERAGE('03_Factor_SubScores'!C18:G18)</f>
        <v/>
      </c>
      <c r="D18" s="11">
        <f>IF('02_Market_Inputs'!O18&gt;0, IF('02_Market_Inputs'!N18&lt;-2.0, MIN(20, AVERAGE('03_Factor_SubScores'!H18:L18)), AVERAGE('03_Factor_SubScores'!H18:L18)), IF('02_Market_Inputs'!N18&lt;-2.0, MIN(20, AVERAGE('03_Factor_SubScores'!H18:K18)), AVERAGE('03_Factor_SubScores'!H18:K18)))</f>
        <v/>
      </c>
      <c r="E18" s="11">
        <f>AVERAGE('03_Factor_SubScores'!M18:P18)</f>
        <v/>
      </c>
      <c r="F18" s="11">
        <f>MIN(100, MAX(0, AVERAGE('03_Factor_SubScores'!Q18:R18) + MIN(10, '06_MLR_Regression'!G18) + MIN(15, '07_VAR_Granger'!I18)))</f>
        <v/>
      </c>
      <c r="G18" s="11">
        <f>'03_Factor_SubScores'!S18 * 0.3 + '03_Factor_SubScores'!T18 * 0.7</f>
        <v/>
      </c>
      <c r="H18" s="11">
        <f>AVERAGE('03_Factor_SubScores'!U18:W18)</f>
        <v/>
      </c>
      <c r="I18" s="11">
        <f>C18 * '01_Model_Config'!$C$6</f>
        <v/>
      </c>
      <c r="J18" s="11">
        <f>D18 * '01_Model_Config'!$C$7</f>
        <v/>
      </c>
      <c r="K18" s="11">
        <f>E18 * '01_Model_Config'!$C$8</f>
        <v/>
      </c>
      <c r="L18" s="11">
        <f>F18 * '01_Model_Config'!$C$9</f>
        <v/>
      </c>
      <c r="M18" s="11">
        <f>G18 * '01_Model_Config'!$C$10</f>
        <v/>
      </c>
      <c r="N18" s="11">
        <f>H18 * '01_Model_Config'!$C$11</f>
        <v/>
      </c>
      <c r="O18" s="30">
        <f>SUM(I18:N18)</f>
        <v/>
      </c>
    </row>
    <row r="19">
      <c r="A19" s="16">
        <f>'02_Market_Inputs'!A19</f>
        <v/>
      </c>
      <c r="B19" s="16">
        <f>'02_Market_Inputs'!B19</f>
        <v/>
      </c>
      <c r="C19" s="15">
        <f>AVERAGE('03_Factor_SubScores'!C19:G19)</f>
        <v/>
      </c>
      <c r="D19" s="15">
        <f>IF('02_Market_Inputs'!O19&gt;0, IF('02_Market_Inputs'!N19&lt;-2.0, MIN(20, AVERAGE('03_Factor_SubScores'!H19:L19)), AVERAGE('03_Factor_SubScores'!H19:L19)), IF('02_Market_Inputs'!N19&lt;-2.0, MIN(20, AVERAGE('03_Factor_SubScores'!H19:K19)), AVERAGE('03_Factor_SubScores'!H19:K19)))</f>
        <v/>
      </c>
      <c r="E19" s="15">
        <f>AVERAGE('03_Factor_SubScores'!M19:P19)</f>
        <v/>
      </c>
      <c r="F19" s="15">
        <f>MIN(100, MAX(0, AVERAGE('03_Factor_SubScores'!Q19:R19) + MIN(10, '06_MLR_Regression'!G19) + MIN(15, '07_VAR_Granger'!I19)))</f>
        <v/>
      </c>
      <c r="G19" s="15">
        <f>'03_Factor_SubScores'!S19 * 0.3 + '03_Factor_SubScores'!T19 * 0.7</f>
        <v/>
      </c>
      <c r="H19" s="15">
        <f>AVERAGE('03_Factor_SubScores'!U19:W19)</f>
        <v/>
      </c>
      <c r="I19" s="15">
        <f>C19 * '01_Model_Config'!$C$6</f>
        <v/>
      </c>
      <c r="J19" s="15">
        <f>D19 * '01_Model_Config'!$C$7</f>
        <v/>
      </c>
      <c r="K19" s="15">
        <f>E19 * '01_Model_Config'!$C$8</f>
        <v/>
      </c>
      <c r="L19" s="15">
        <f>F19 * '01_Model_Config'!$C$9</f>
        <v/>
      </c>
      <c r="M19" s="15">
        <f>G19 * '01_Model_Config'!$C$10</f>
        <v/>
      </c>
      <c r="N19" s="15">
        <f>H19 * '01_Model_Config'!$C$11</f>
        <v/>
      </c>
      <c r="O19" s="30">
        <f>SUM(I19:N19)</f>
        <v/>
      </c>
    </row>
    <row r="20">
      <c r="A20" s="12">
        <f>'02_Market_Inputs'!A20</f>
        <v/>
      </c>
      <c r="B20" s="12">
        <f>'02_Market_Inputs'!B20</f>
        <v/>
      </c>
      <c r="C20" s="11">
        <f>AVERAGE('03_Factor_SubScores'!C20:G20)</f>
        <v/>
      </c>
      <c r="D20" s="11">
        <f>IF('02_Market_Inputs'!O20&gt;0, IF('02_Market_Inputs'!N20&lt;-2.0, MIN(20, AVERAGE('03_Factor_SubScores'!H20:L20)), AVERAGE('03_Factor_SubScores'!H20:L20)), IF('02_Market_Inputs'!N20&lt;-2.0, MIN(20, AVERAGE('03_Factor_SubScores'!H20:K20)), AVERAGE('03_Factor_SubScores'!H20:K20)))</f>
        <v/>
      </c>
      <c r="E20" s="11">
        <f>AVERAGE('03_Factor_SubScores'!M20:P20)</f>
        <v/>
      </c>
      <c r="F20" s="11">
        <f>MIN(100, MAX(0, AVERAGE('03_Factor_SubScores'!Q20:R20) + MIN(10, '06_MLR_Regression'!G20) + MIN(15, '07_VAR_Granger'!I20)))</f>
        <v/>
      </c>
      <c r="G20" s="11">
        <f>'03_Factor_SubScores'!S20 * 0.3 + '03_Factor_SubScores'!T20 * 0.7</f>
        <v/>
      </c>
      <c r="H20" s="11">
        <f>AVERAGE('03_Factor_SubScores'!U20:W20)</f>
        <v/>
      </c>
      <c r="I20" s="11">
        <f>C20 * '01_Model_Config'!$C$6</f>
        <v/>
      </c>
      <c r="J20" s="11">
        <f>D20 * '01_Model_Config'!$C$7</f>
        <v/>
      </c>
      <c r="K20" s="11">
        <f>E20 * '01_Model_Config'!$C$8</f>
        <v/>
      </c>
      <c r="L20" s="11">
        <f>F20 * '01_Model_Config'!$C$9</f>
        <v/>
      </c>
      <c r="M20" s="11">
        <f>G20 * '01_Model_Config'!$C$10</f>
        <v/>
      </c>
      <c r="N20" s="11">
        <f>H20 * '01_Model_Config'!$C$11</f>
        <v/>
      </c>
      <c r="O20" s="30">
        <f>SUM(I20:N20)</f>
        <v/>
      </c>
    </row>
    <row r="21">
      <c r="A21" s="16">
        <f>'02_Market_Inputs'!A21</f>
        <v/>
      </c>
      <c r="B21" s="16">
        <f>'02_Market_Inputs'!B21</f>
        <v/>
      </c>
      <c r="C21" s="15">
        <f>AVERAGE('03_Factor_SubScores'!C21:G21)</f>
        <v/>
      </c>
      <c r="D21" s="15">
        <f>IF('02_Market_Inputs'!O21&gt;0, IF('02_Market_Inputs'!N21&lt;-2.0, MIN(20, AVERAGE('03_Factor_SubScores'!H21:L21)), AVERAGE('03_Factor_SubScores'!H21:L21)), IF('02_Market_Inputs'!N21&lt;-2.0, MIN(20, AVERAGE('03_Factor_SubScores'!H21:K21)), AVERAGE('03_Factor_SubScores'!H21:K21)))</f>
        <v/>
      </c>
      <c r="E21" s="15">
        <f>AVERAGE('03_Factor_SubScores'!M21:P21)</f>
        <v/>
      </c>
      <c r="F21" s="15">
        <f>MIN(100, MAX(0, AVERAGE('03_Factor_SubScores'!Q21:R21) + MIN(10, '06_MLR_Regression'!G21) + MIN(15, '07_VAR_Granger'!I21)))</f>
        <v/>
      </c>
      <c r="G21" s="15">
        <f>'03_Factor_SubScores'!S21 * 0.3 + '03_Factor_SubScores'!T21 * 0.7</f>
        <v/>
      </c>
      <c r="H21" s="15">
        <f>AVERAGE('03_Factor_SubScores'!U21:W21)</f>
        <v/>
      </c>
      <c r="I21" s="15">
        <f>C21 * '01_Model_Config'!$C$6</f>
        <v/>
      </c>
      <c r="J21" s="15">
        <f>D21 * '01_Model_Config'!$C$7</f>
        <v/>
      </c>
      <c r="K21" s="15">
        <f>E21 * '01_Model_Config'!$C$8</f>
        <v/>
      </c>
      <c r="L21" s="15">
        <f>F21 * '01_Model_Config'!$C$9</f>
        <v/>
      </c>
      <c r="M21" s="15">
        <f>G21 * '01_Model_Config'!$C$10</f>
        <v/>
      </c>
      <c r="N21" s="15">
        <f>H21 * '01_Model_Config'!$C$11</f>
        <v/>
      </c>
      <c r="O21" s="30">
        <f>SUM(I21:N21)</f>
        <v/>
      </c>
    </row>
    <row r="22">
      <c r="A22" s="12">
        <f>'02_Market_Inputs'!A22</f>
        <v/>
      </c>
      <c r="B22" s="12">
        <f>'02_Market_Inputs'!B22</f>
        <v/>
      </c>
      <c r="C22" s="11">
        <f>AVERAGE('03_Factor_SubScores'!C22:G22)</f>
        <v/>
      </c>
      <c r="D22" s="11">
        <f>IF('02_Market_Inputs'!O22&gt;0, IF('02_Market_Inputs'!N22&lt;-2.0, MIN(20, AVERAGE('03_Factor_SubScores'!H22:L22)), AVERAGE('03_Factor_SubScores'!H22:L22)), IF('02_Market_Inputs'!N22&lt;-2.0, MIN(20, AVERAGE('03_Factor_SubScores'!H22:K22)), AVERAGE('03_Factor_SubScores'!H22:K22)))</f>
        <v/>
      </c>
      <c r="E22" s="11">
        <f>AVERAGE('03_Factor_SubScores'!M22:P22)</f>
        <v/>
      </c>
      <c r="F22" s="11">
        <f>MIN(100, MAX(0, AVERAGE('03_Factor_SubScores'!Q22:R22) + MIN(10, '06_MLR_Regression'!G22) + MIN(15, '07_VAR_Granger'!I22)))</f>
        <v/>
      </c>
      <c r="G22" s="11">
        <f>'03_Factor_SubScores'!S22 * 0.3 + '03_Factor_SubScores'!T22 * 0.7</f>
        <v/>
      </c>
      <c r="H22" s="11">
        <f>AVERAGE('03_Factor_SubScores'!U22:W22)</f>
        <v/>
      </c>
      <c r="I22" s="11">
        <f>C22 * '01_Model_Config'!$C$6</f>
        <v/>
      </c>
      <c r="J22" s="11">
        <f>D22 * '01_Model_Config'!$C$7</f>
        <v/>
      </c>
      <c r="K22" s="11">
        <f>E22 * '01_Model_Config'!$C$8</f>
        <v/>
      </c>
      <c r="L22" s="11">
        <f>F22 * '01_Model_Config'!$C$9</f>
        <v/>
      </c>
      <c r="M22" s="11">
        <f>G22 * '01_Model_Config'!$C$10</f>
        <v/>
      </c>
      <c r="N22" s="11">
        <f>H22 * '01_Model_Config'!$C$11</f>
        <v/>
      </c>
      <c r="O22" s="30">
        <f>SUM(I22:N22)</f>
        <v/>
      </c>
    </row>
    <row r="23">
      <c r="A23" s="16">
        <f>'02_Market_Inputs'!A23</f>
        <v/>
      </c>
      <c r="B23" s="16">
        <f>'02_Market_Inputs'!B23</f>
        <v/>
      </c>
      <c r="C23" s="15">
        <f>AVERAGE('03_Factor_SubScores'!C23:G23)</f>
        <v/>
      </c>
      <c r="D23" s="15">
        <f>IF('02_Market_Inputs'!O23&gt;0, IF('02_Market_Inputs'!N23&lt;-2.0, MIN(20, AVERAGE('03_Factor_SubScores'!H23:L23)), AVERAGE('03_Factor_SubScores'!H23:L23)), IF('02_Market_Inputs'!N23&lt;-2.0, MIN(20, AVERAGE('03_Factor_SubScores'!H23:K23)), AVERAGE('03_Factor_SubScores'!H23:K23)))</f>
        <v/>
      </c>
      <c r="E23" s="15">
        <f>AVERAGE('03_Factor_SubScores'!M23:P23)</f>
        <v/>
      </c>
      <c r="F23" s="15">
        <f>MIN(100, MAX(0, AVERAGE('03_Factor_SubScores'!Q23:R23) + MIN(10, '06_MLR_Regression'!G23) + MIN(15, '07_VAR_Granger'!I23)))</f>
        <v/>
      </c>
      <c r="G23" s="15">
        <f>'03_Factor_SubScores'!S23 * 0.3 + '03_Factor_SubScores'!T23 * 0.7</f>
        <v/>
      </c>
      <c r="H23" s="15">
        <f>AVERAGE('03_Factor_SubScores'!U23:W23)</f>
        <v/>
      </c>
      <c r="I23" s="15">
        <f>C23 * '01_Model_Config'!$C$6</f>
        <v/>
      </c>
      <c r="J23" s="15">
        <f>D23 * '01_Model_Config'!$C$7</f>
        <v/>
      </c>
      <c r="K23" s="15">
        <f>E23 * '01_Model_Config'!$C$8</f>
        <v/>
      </c>
      <c r="L23" s="15">
        <f>F23 * '01_Model_Config'!$C$9</f>
        <v/>
      </c>
      <c r="M23" s="15">
        <f>G23 * '01_Model_Config'!$C$10</f>
        <v/>
      </c>
      <c r="N23" s="15">
        <f>H23 * '01_Model_Config'!$C$11</f>
        <v/>
      </c>
      <c r="O23" s="30">
        <f>SUM(I23:N23)</f>
        <v/>
      </c>
    </row>
    <row r="24">
      <c r="A24" s="12">
        <f>'02_Market_Inputs'!A24</f>
        <v/>
      </c>
      <c r="B24" s="12">
        <f>'02_Market_Inputs'!B24</f>
        <v/>
      </c>
      <c r="C24" s="11">
        <f>AVERAGE('03_Factor_SubScores'!C24:G24)</f>
        <v/>
      </c>
      <c r="D24" s="11">
        <f>IF('02_Market_Inputs'!O24&gt;0, IF('02_Market_Inputs'!N24&lt;-2.0, MIN(20, AVERAGE('03_Factor_SubScores'!H24:L24)), AVERAGE('03_Factor_SubScores'!H24:L24)), IF('02_Market_Inputs'!N24&lt;-2.0, MIN(20, AVERAGE('03_Factor_SubScores'!H24:K24)), AVERAGE('03_Factor_SubScores'!H24:K24)))</f>
        <v/>
      </c>
      <c r="E24" s="11">
        <f>AVERAGE('03_Factor_SubScores'!M24:P24)</f>
        <v/>
      </c>
      <c r="F24" s="11">
        <f>MIN(100, MAX(0, AVERAGE('03_Factor_SubScores'!Q24:R24) + MIN(10, '06_MLR_Regression'!G24) + MIN(15, '07_VAR_Granger'!I24)))</f>
        <v/>
      </c>
      <c r="G24" s="11">
        <f>'03_Factor_SubScores'!S24 * 0.3 + '03_Factor_SubScores'!T24 * 0.7</f>
        <v/>
      </c>
      <c r="H24" s="11">
        <f>AVERAGE('03_Factor_SubScores'!U24:W24)</f>
        <v/>
      </c>
      <c r="I24" s="11">
        <f>C24 * '01_Model_Config'!$C$6</f>
        <v/>
      </c>
      <c r="J24" s="11">
        <f>D24 * '01_Model_Config'!$C$7</f>
        <v/>
      </c>
      <c r="K24" s="11">
        <f>E24 * '01_Model_Config'!$C$8</f>
        <v/>
      </c>
      <c r="L24" s="11">
        <f>F24 * '01_Model_Config'!$C$9</f>
        <v/>
      </c>
      <c r="M24" s="11">
        <f>G24 * '01_Model_Config'!$C$10</f>
        <v/>
      </c>
      <c r="N24" s="11">
        <f>H24 * '01_Model_Config'!$C$11</f>
        <v/>
      </c>
      <c r="O24" s="30">
        <f>SUM(I24:N24)</f>
        <v/>
      </c>
    </row>
    <row r="25">
      <c r="A25" s="16">
        <f>'02_Market_Inputs'!A25</f>
        <v/>
      </c>
      <c r="B25" s="16">
        <f>'02_Market_Inputs'!B25</f>
        <v/>
      </c>
      <c r="C25" s="15">
        <f>AVERAGE('03_Factor_SubScores'!C25:G25)</f>
        <v/>
      </c>
      <c r="D25" s="15">
        <f>IF('02_Market_Inputs'!O25&gt;0, IF('02_Market_Inputs'!N25&lt;-2.0, MIN(20, AVERAGE('03_Factor_SubScores'!H25:L25)), AVERAGE('03_Factor_SubScores'!H25:L25)), IF('02_Market_Inputs'!N25&lt;-2.0, MIN(20, AVERAGE('03_Factor_SubScores'!H25:K25)), AVERAGE('03_Factor_SubScores'!H25:K25)))</f>
        <v/>
      </c>
      <c r="E25" s="15">
        <f>AVERAGE('03_Factor_SubScores'!M25:P25)</f>
        <v/>
      </c>
      <c r="F25" s="15">
        <f>MIN(100, MAX(0, AVERAGE('03_Factor_SubScores'!Q25:R25) + MIN(10, '06_MLR_Regression'!G25) + MIN(15, '07_VAR_Granger'!I25)))</f>
        <v/>
      </c>
      <c r="G25" s="15">
        <f>'03_Factor_SubScores'!S25 * 0.3 + '03_Factor_SubScores'!T25 * 0.7</f>
        <v/>
      </c>
      <c r="H25" s="15">
        <f>AVERAGE('03_Factor_SubScores'!U25:W25)</f>
        <v/>
      </c>
      <c r="I25" s="15">
        <f>C25 * '01_Model_Config'!$C$6</f>
        <v/>
      </c>
      <c r="J25" s="15">
        <f>D25 * '01_Model_Config'!$C$7</f>
        <v/>
      </c>
      <c r="K25" s="15">
        <f>E25 * '01_Model_Config'!$C$8</f>
        <v/>
      </c>
      <c r="L25" s="15">
        <f>F25 * '01_Model_Config'!$C$9</f>
        <v/>
      </c>
      <c r="M25" s="15">
        <f>G25 * '01_Model_Config'!$C$10</f>
        <v/>
      </c>
      <c r="N25" s="15">
        <f>H25 * '01_Model_Config'!$C$11</f>
        <v/>
      </c>
      <c r="O25" s="30">
        <f>SUM(I25:N25)</f>
        <v/>
      </c>
    </row>
    <row r="26">
      <c r="A26" s="12">
        <f>'02_Market_Inputs'!A26</f>
        <v/>
      </c>
      <c r="B26" s="12">
        <f>'02_Market_Inputs'!B26</f>
        <v/>
      </c>
      <c r="C26" s="11">
        <f>AVERAGE('03_Factor_SubScores'!C26:G26)</f>
        <v/>
      </c>
      <c r="D26" s="11">
        <f>IF('02_Market_Inputs'!O26&gt;0, IF('02_Market_Inputs'!N26&lt;-2.0, MIN(20, AVERAGE('03_Factor_SubScores'!H26:L26)), AVERAGE('03_Factor_SubScores'!H26:L26)), IF('02_Market_Inputs'!N26&lt;-2.0, MIN(20, AVERAGE('03_Factor_SubScores'!H26:K26)), AVERAGE('03_Factor_SubScores'!H26:K26)))</f>
        <v/>
      </c>
      <c r="E26" s="11">
        <f>AVERAGE('03_Factor_SubScores'!M26:P26)</f>
        <v/>
      </c>
      <c r="F26" s="11">
        <f>MIN(100, MAX(0, AVERAGE('03_Factor_SubScores'!Q26:R26) + MIN(10, '06_MLR_Regression'!G26) + MIN(15, '07_VAR_Granger'!I26)))</f>
        <v/>
      </c>
      <c r="G26" s="11">
        <f>'03_Factor_SubScores'!S26 * 0.3 + '03_Factor_SubScores'!T26 * 0.7</f>
        <v/>
      </c>
      <c r="H26" s="11">
        <f>AVERAGE('03_Factor_SubScores'!U26:W26)</f>
        <v/>
      </c>
      <c r="I26" s="11">
        <f>C26 * '01_Model_Config'!$C$6</f>
        <v/>
      </c>
      <c r="J26" s="11">
        <f>D26 * '01_Model_Config'!$C$7</f>
        <v/>
      </c>
      <c r="K26" s="11">
        <f>E26 * '01_Model_Config'!$C$8</f>
        <v/>
      </c>
      <c r="L26" s="11">
        <f>F26 * '01_Model_Config'!$C$9</f>
        <v/>
      </c>
      <c r="M26" s="11">
        <f>G26 * '01_Model_Config'!$C$10</f>
        <v/>
      </c>
      <c r="N26" s="11">
        <f>H26 * '01_Model_Config'!$C$11</f>
        <v/>
      </c>
      <c r="O26" s="30">
        <f>SUM(I26:N26)</f>
        <v/>
      </c>
    </row>
    <row r="27">
      <c r="A27" s="16">
        <f>'02_Market_Inputs'!A27</f>
        <v/>
      </c>
      <c r="B27" s="16">
        <f>'02_Market_Inputs'!B27</f>
        <v/>
      </c>
      <c r="C27" s="15">
        <f>AVERAGE('03_Factor_SubScores'!C27:G27)</f>
        <v/>
      </c>
      <c r="D27" s="15">
        <f>IF('02_Market_Inputs'!O27&gt;0, IF('02_Market_Inputs'!N27&lt;-2.0, MIN(20, AVERAGE('03_Factor_SubScores'!H27:L27)), AVERAGE('03_Factor_SubScores'!H27:L27)), IF('02_Market_Inputs'!N27&lt;-2.0, MIN(20, AVERAGE('03_Factor_SubScores'!H27:K27)), AVERAGE('03_Factor_SubScores'!H27:K27)))</f>
        <v/>
      </c>
      <c r="E27" s="15">
        <f>AVERAGE('03_Factor_SubScores'!M27:P27)</f>
        <v/>
      </c>
      <c r="F27" s="15">
        <f>MIN(100, MAX(0, AVERAGE('03_Factor_SubScores'!Q27:R27) + MIN(10, '06_MLR_Regression'!G27) + MIN(15, '07_VAR_Granger'!I27)))</f>
        <v/>
      </c>
      <c r="G27" s="15">
        <f>'03_Factor_SubScores'!S27 * 0.3 + '03_Factor_SubScores'!T27 * 0.7</f>
        <v/>
      </c>
      <c r="H27" s="15">
        <f>AVERAGE('03_Factor_SubScores'!U27:W27)</f>
        <v/>
      </c>
      <c r="I27" s="15">
        <f>C27 * '01_Model_Config'!$C$6</f>
        <v/>
      </c>
      <c r="J27" s="15">
        <f>D27 * '01_Model_Config'!$C$7</f>
        <v/>
      </c>
      <c r="K27" s="15">
        <f>E27 * '01_Model_Config'!$C$8</f>
        <v/>
      </c>
      <c r="L27" s="15">
        <f>F27 * '01_Model_Config'!$C$9</f>
        <v/>
      </c>
      <c r="M27" s="15">
        <f>G27 * '01_Model_Config'!$C$10</f>
        <v/>
      </c>
      <c r="N27" s="15">
        <f>H27 * '01_Model_Config'!$C$11</f>
        <v/>
      </c>
      <c r="O27" s="30">
        <f>SUM(I27:N27)</f>
        <v/>
      </c>
    </row>
    <row r="28">
      <c r="A28" s="12">
        <f>'02_Market_Inputs'!A28</f>
        <v/>
      </c>
      <c r="B28" s="12">
        <f>'02_Market_Inputs'!B28</f>
        <v/>
      </c>
      <c r="C28" s="11">
        <f>AVERAGE('03_Factor_SubScores'!C28:G28)</f>
        <v/>
      </c>
      <c r="D28" s="11">
        <f>IF('02_Market_Inputs'!O28&gt;0, IF('02_Market_Inputs'!N28&lt;-2.0, MIN(20, AVERAGE('03_Factor_SubScores'!H28:L28)), AVERAGE('03_Factor_SubScores'!H28:L28)), IF('02_Market_Inputs'!N28&lt;-2.0, MIN(20, AVERAGE('03_Factor_SubScores'!H28:K28)), AVERAGE('03_Factor_SubScores'!H28:K28)))</f>
        <v/>
      </c>
      <c r="E28" s="11">
        <f>AVERAGE('03_Factor_SubScores'!M28:P28)</f>
        <v/>
      </c>
      <c r="F28" s="11">
        <f>MIN(100, MAX(0, AVERAGE('03_Factor_SubScores'!Q28:R28) + MIN(10, '06_MLR_Regression'!G28) + MIN(15, '07_VAR_Granger'!I28)))</f>
        <v/>
      </c>
      <c r="G28" s="11">
        <f>'03_Factor_SubScores'!S28 * 0.3 + '03_Factor_SubScores'!T28 * 0.7</f>
        <v/>
      </c>
      <c r="H28" s="11">
        <f>AVERAGE('03_Factor_SubScores'!U28:W28)</f>
        <v/>
      </c>
      <c r="I28" s="11">
        <f>C28 * '01_Model_Config'!$C$6</f>
        <v/>
      </c>
      <c r="J28" s="11">
        <f>D28 * '01_Model_Config'!$C$7</f>
        <v/>
      </c>
      <c r="K28" s="11">
        <f>E28 * '01_Model_Config'!$C$8</f>
        <v/>
      </c>
      <c r="L28" s="11">
        <f>F28 * '01_Model_Config'!$C$9</f>
        <v/>
      </c>
      <c r="M28" s="11">
        <f>G28 * '01_Model_Config'!$C$10</f>
        <v/>
      </c>
      <c r="N28" s="11">
        <f>H28 * '01_Model_Config'!$C$11</f>
        <v/>
      </c>
      <c r="O28" s="30">
        <f>SUM(I28:N28)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8"/>
  <sheetViews>
    <sheetView showGridLines="1" workbookViewId="0">
      <selection activeCell="A1" sqref="A1"/>
    </sheetView>
  </sheetViews>
  <sheetFormatPr baseColWidth="8" defaultRowHeight="15"/>
  <cols>
    <col width="119" customWidth="1" min="1" max="1"/>
    <col width="13" customWidth="1" min="2" max="2"/>
    <col width="17" customWidth="1" min="3" max="3"/>
    <col width="20" customWidth="1" min="4" max="4"/>
    <col width="13" customWidth="1" min="5" max="5"/>
    <col width="21" customWidth="1" min="6" max="6"/>
    <col width="26" customWidth="1" min="7" max="7"/>
    <col width="25" customWidth="1" min="8" max="8"/>
    <col width="24" customWidth="1" min="9" max="9"/>
    <col width="19" customWidth="1" min="10" max="10"/>
    <col width="19" customWidth="1" min="11" max="11"/>
    <col width="30" customWidth="1" min="12" max="12"/>
    <col width="24" customWidth="1" min="13" max="13"/>
    <col width="26" customWidth="1" min="14" max="14"/>
    <col width="19" customWidth="1" min="15" max="15"/>
    <col width="19" customWidth="1" min="16" max="16"/>
  </cols>
  <sheetData>
    <row r="1">
      <c r="A1" s="1" t="inlineStr">
        <is>
          <t>VN-INDEX QUANTITATIVE MODEL — TWO-TIER SCORING &amp; EXPANDING CALIBRATION (2021-2026)</t>
        </is>
      </c>
    </row>
    <row r="2">
      <c r="A2" s="2" t="inlineStr">
        <is>
          <t>Tier 1: Reference Raw Composite | Tier 2: Calibrated Action Signal (100% EXCEL FORMULAS, strictly expanding history)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VN-Index Close</t>
        </is>
      </c>
      <c r="D4" s="8" t="inlineStr">
        <is>
          <t>Total Score (RAW)</t>
        </is>
      </c>
      <c r="E4" s="8" t="inlineStr">
        <is>
          <t>Raw Label</t>
        </is>
      </c>
      <c r="F4" s="8" t="inlineStr">
        <is>
          <t>Prior Quarters (N)</t>
        </is>
      </c>
      <c r="G4" s="8" t="inlineStr">
        <is>
          <t>Expanding Mean (μ_hist)</t>
        </is>
      </c>
      <c r="H4" s="8" t="inlineStr">
        <is>
          <t>Expanding Std (σ_hist)</t>
        </is>
      </c>
      <c r="I4" s="8" t="inlineStr">
        <is>
          <t>Expanding Z-score (z)</t>
        </is>
      </c>
      <c r="J4" s="8" t="inlineStr">
        <is>
          <t>Calibrated Score</t>
        </is>
      </c>
      <c r="K4" s="8" t="inlineStr">
        <is>
          <t>Calibrated Label</t>
        </is>
      </c>
      <c r="L4" s="8" t="inlineStr">
        <is>
          <t>Suggested Equity Allocation</t>
        </is>
      </c>
      <c r="M4" s="8" t="inlineStr">
        <is>
          <t>Pillar Dispersion Std</t>
        </is>
      </c>
      <c r="N4" s="8" t="inlineStr">
        <is>
          <t>Pillar Dispersion Range</t>
        </is>
      </c>
      <c r="O4" s="8" t="inlineStr">
        <is>
          <t>Dispersion Level</t>
        </is>
      </c>
      <c r="P4" s="8" t="inlineStr">
        <is>
          <t>Percentile Label</t>
        </is>
      </c>
    </row>
    <row r="5">
      <c r="A5" s="16">
        <f>'02_Market_Inputs'!A5</f>
        <v/>
      </c>
      <c r="B5" s="16">
        <f>'02_Market_Inputs'!B5</f>
        <v/>
      </c>
      <c r="C5" s="25">
        <f>'02_Market_Inputs'!C5</f>
        <v/>
      </c>
      <c r="D5" s="30">
        <f>'04_Pillar_Calculation'!O5</f>
        <v/>
      </c>
      <c r="E5" s="16">
        <f>IF(D5&gt;=80, "BUY", IF(D5&gt;=65, "ACCUMULATE", IF(D5&gt;=50, "HOLD", IF(D5&gt;=35, "REDUCE", "SELL"))))</f>
        <v/>
      </c>
      <c r="F5" s="26">
        <f>ROW()-ROW($D$5)</f>
        <v/>
      </c>
      <c r="G5" s="15">
        <f>IF(F5&gt;='01_Model_Config'!$B$26, AVERAGE($D$5:D4), "N/A")</f>
        <v/>
      </c>
      <c r="H5" s="15">
        <f>IF(F5&gt;='01_Model_Config'!$B$26, STDEV.S($D$5:D4), "N/A")</f>
        <v/>
      </c>
      <c r="I5" s="22">
        <f>IF(F5&gt;='01_Model_Config'!$B$26, (D5-G5)/H5, "N/A")</f>
        <v/>
      </c>
      <c r="J5" s="30">
        <f>IF(F5&lt;'01_Model_Config'!$B$26, D5, MIN('01_Model_Config'!$B$28, MAX('01_Model_Config'!$B$27, '01_Model_Config'!$B$24 + '01_Model_Config'!$B$25 * I5)))</f>
        <v/>
      </c>
      <c r="K5" s="16">
        <f>IF(J5&gt;=80, "BUY", IF(J5&gt;=65, "ACCUMULATE", IF(J5&gt;=50, "HOLD", IF(J5&gt;=35, "REDUCE", "SELL"))))</f>
        <v/>
      </c>
      <c r="L5" s="16">
        <f>IF(J5&gt;=80, "85–100% Equities", IF(J5&gt;=65, "70–85% Equities", IF(J5&gt;=50, "40–60% Equities", IF(J5&gt;=35, "20–40% Equities", "0–20% Equities"))))</f>
        <v/>
      </c>
      <c r="M5" s="15">
        <f>STDEV.S('04_Pillar_Calculation'!C5:H5)</f>
        <v/>
      </c>
      <c r="N5" s="15">
        <f>MAX('04_Pillar_Calculation'!C5:H5) - MIN('04_Pillar_Calculation'!C5:H5)</f>
        <v/>
      </c>
      <c r="O5" s="16">
        <f>IF(M5&gt;=15, "HIGH", IF(M5&lt;=10, "LOW", "MEDIUM"))</f>
        <v/>
      </c>
      <c r="P5" s="16" t="inlineStr">
        <is>
          <t>HOLD</t>
        </is>
      </c>
    </row>
    <row r="6">
      <c r="A6" s="12">
        <f>'02_Market_Inputs'!A6</f>
        <v/>
      </c>
      <c r="B6" s="12">
        <f>'02_Market_Inputs'!B6</f>
        <v/>
      </c>
      <c r="C6" s="27">
        <f>'02_Market_Inputs'!C6</f>
        <v/>
      </c>
      <c r="D6" s="30">
        <f>'04_Pillar_Calculation'!O6</f>
        <v/>
      </c>
      <c r="E6" s="12">
        <f>IF(D6&gt;=80, "BUY", IF(D6&gt;=65, "ACCUMULATE", IF(D6&gt;=50, "HOLD", IF(D6&gt;=35, "REDUCE", "SELL"))))</f>
        <v/>
      </c>
      <c r="F6" s="29">
        <f>ROW()-ROW($D$5)</f>
        <v/>
      </c>
      <c r="G6" s="11">
        <f>IF(F6&gt;='01_Model_Config'!$B$26, AVERAGE($D$5:D5), "N/A")</f>
        <v/>
      </c>
      <c r="H6" s="11">
        <f>IF(F6&gt;='01_Model_Config'!$B$26, STDEV.S($D$5:D5), "N/A")</f>
        <v/>
      </c>
      <c r="I6" s="28">
        <f>IF(F6&gt;='01_Model_Config'!$B$26, (D6-G6)/H6, "N/A")</f>
        <v/>
      </c>
      <c r="J6" s="30">
        <f>IF(F6&lt;'01_Model_Config'!$B$26, D6, MIN('01_Model_Config'!$B$28, MAX('01_Model_Config'!$B$27, '01_Model_Config'!$B$24 + '01_Model_Config'!$B$25 * I6)))</f>
        <v/>
      </c>
      <c r="K6" s="12">
        <f>IF(J6&gt;=80, "BUY", IF(J6&gt;=65, "ACCUMULATE", IF(J6&gt;=50, "HOLD", IF(J6&gt;=35, "REDUCE", "SELL"))))</f>
        <v/>
      </c>
      <c r="L6" s="12">
        <f>IF(J6&gt;=80, "85–100% Equities", IF(J6&gt;=65, "70–85% Equities", IF(J6&gt;=50, "40–60% Equities", IF(J6&gt;=35, "20–40% Equities", "0–20% Equities"))))</f>
        <v/>
      </c>
      <c r="M6" s="11">
        <f>STDEV.S('04_Pillar_Calculation'!C6:H6)</f>
        <v/>
      </c>
      <c r="N6" s="11">
        <f>MAX('04_Pillar_Calculation'!C6:H6) - MIN('04_Pillar_Calculation'!C6:H6)</f>
        <v/>
      </c>
      <c r="O6" s="12">
        <f>IF(M6&gt;=15, "HIGH", IF(M6&lt;=10, "LOW", "MEDIUM"))</f>
        <v/>
      </c>
      <c r="P6" s="12" t="inlineStr">
        <is>
          <t>HOLD</t>
        </is>
      </c>
    </row>
    <row r="7">
      <c r="A7" s="16">
        <f>'02_Market_Inputs'!A7</f>
        <v/>
      </c>
      <c r="B7" s="16">
        <f>'02_Market_Inputs'!B7</f>
        <v/>
      </c>
      <c r="C7" s="25">
        <f>'02_Market_Inputs'!C7</f>
        <v/>
      </c>
      <c r="D7" s="30">
        <f>'04_Pillar_Calculation'!O7</f>
        <v/>
      </c>
      <c r="E7" s="16">
        <f>IF(D7&gt;=80, "BUY", IF(D7&gt;=65, "ACCUMULATE", IF(D7&gt;=50, "HOLD", IF(D7&gt;=35, "REDUCE", "SELL"))))</f>
        <v/>
      </c>
      <c r="F7" s="26">
        <f>ROW()-ROW($D$5)</f>
        <v/>
      </c>
      <c r="G7" s="15">
        <f>IF(F7&gt;='01_Model_Config'!$B$26, AVERAGE($D$5:D6), "N/A")</f>
        <v/>
      </c>
      <c r="H7" s="15">
        <f>IF(F7&gt;='01_Model_Config'!$B$26, STDEV.S($D$5:D6), "N/A")</f>
        <v/>
      </c>
      <c r="I7" s="22">
        <f>IF(F7&gt;='01_Model_Config'!$B$26, (D7-G7)/H7, "N/A")</f>
        <v/>
      </c>
      <c r="J7" s="30">
        <f>IF(F7&lt;'01_Model_Config'!$B$26, D7, MIN('01_Model_Config'!$B$28, MAX('01_Model_Config'!$B$27, '01_Model_Config'!$B$24 + '01_Model_Config'!$B$25 * I7)))</f>
        <v/>
      </c>
      <c r="K7" s="16">
        <f>IF(J7&gt;=80, "BUY", IF(J7&gt;=65, "ACCUMULATE", IF(J7&gt;=50, "HOLD", IF(J7&gt;=35, "REDUCE", "SELL"))))</f>
        <v/>
      </c>
      <c r="L7" s="16">
        <f>IF(J7&gt;=80, "85–100% Equities", IF(J7&gt;=65, "70–85% Equities", IF(J7&gt;=50, "40–60% Equities", IF(J7&gt;=35, "20–40% Equities", "0–20% Equities"))))</f>
        <v/>
      </c>
      <c r="M7" s="15">
        <f>STDEV.S('04_Pillar_Calculation'!C7:H7)</f>
        <v/>
      </c>
      <c r="N7" s="15">
        <f>MAX('04_Pillar_Calculation'!C7:H7) - MIN('04_Pillar_Calculation'!C7:H7)</f>
        <v/>
      </c>
      <c r="O7" s="16">
        <f>IF(M7&gt;=15, "HIGH", IF(M7&lt;=10, "LOW", "MEDIUM"))</f>
        <v/>
      </c>
      <c r="P7" s="16" t="inlineStr">
        <is>
          <t>HOLD</t>
        </is>
      </c>
    </row>
    <row r="8">
      <c r="A8" s="12">
        <f>'02_Market_Inputs'!A8</f>
        <v/>
      </c>
      <c r="B8" s="12">
        <f>'02_Market_Inputs'!B8</f>
        <v/>
      </c>
      <c r="C8" s="27">
        <f>'02_Market_Inputs'!C8</f>
        <v/>
      </c>
      <c r="D8" s="30">
        <f>'04_Pillar_Calculation'!O8</f>
        <v/>
      </c>
      <c r="E8" s="12">
        <f>IF(D8&gt;=80, "BUY", IF(D8&gt;=65, "ACCUMULATE", IF(D8&gt;=50, "HOLD", IF(D8&gt;=35, "REDUCE", "SELL"))))</f>
        <v/>
      </c>
      <c r="F8" s="29">
        <f>ROW()-ROW($D$5)</f>
        <v/>
      </c>
      <c r="G8" s="11">
        <f>IF(F8&gt;='01_Model_Config'!$B$26, AVERAGE($D$5:D7), "N/A")</f>
        <v/>
      </c>
      <c r="H8" s="11">
        <f>IF(F8&gt;='01_Model_Config'!$B$26, STDEV.S($D$5:D7), "N/A")</f>
        <v/>
      </c>
      <c r="I8" s="28">
        <f>IF(F8&gt;='01_Model_Config'!$B$26, (D8-G8)/H8, "N/A")</f>
        <v/>
      </c>
      <c r="J8" s="30">
        <f>IF(F8&lt;'01_Model_Config'!$B$26, D8, MIN('01_Model_Config'!$B$28, MAX('01_Model_Config'!$B$27, '01_Model_Config'!$B$24 + '01_Model_Config'!$B$25 * I8)))</f>
        <v/>
      </c>
      <c r="K8" s="12">
        <f>IF(J8&gt;=80, "BUY", IF(J8&gt;=65, "ACCUMULATE", IF(J8&gt;=50, "HOLD", IF(J8&gt;=35, "REDUCE", "SELL"))))</f>
        <v/>
      </c>
      <c r="L8" s="12">
        <f>IF(J8&gt;=80, "85–100% Equities", IF(J8&gt;=65, "70–85% Equities", IF(J8&gt;=50, "40–60% Equities", IF(J8&gt;=35, "20–40% Equities", "0–20% Equities"))))</f>
        <v/>
      </c>
      <c r="M8" s="11">
        <f>STDEV.S('04_Pillar_Calculation'!C8:H8)</f>
        <v/>
      </c>
      <c r="N8" s="11">
        <f>MAX('04_Pillar_Calculation'!C8:H8) - MIN('04_Pillar_Calculation'!C8:H8)</f>
        <v/>
      </c>
      <c r="O8" s="12">
        <f>IF(M8&gt;=15, "HIGH", IF(M8&lt;=10, "LOW", "MEDIUM"))</f>
        <v/>
      </c>
      <c r="P8" s="12" t="inlineStr">
        <is>
          <t>HOLD</t>
        </is>
      </c>
    </row>
    <row r="9">
      <c r="A9" s="16">
        <f>'02_Market_Inputs'!A9</f>
        <v/>
      </c>
      <c r="B9" s="16">
        <f>'02_Market_Inputs'!B9</f>
        <v/>
      </c>
      <c r="C9" s="25">
        <f>'02_Market_Inputs'!C9</f>
        <v/>
      </c>
      <c r="D9" s="30">
        <f>'04_Pillar_Calculation'!O9</f>
        <v/>
      </c>
      <c r="E9" s="16">
        <f>IF(D9&gt;=80, "BUY", IF(D9&gt;=65, "ACCUMULATE", IF(D9&gt;=50, "HOLD", IF(D9&gt;=35, "REDUCE", "SELL"))))</f>
        <v/>
      </c>
      <c r="F9" s="26">
        <f>ROW()-ROW($D$5)</f>
        <v/>
      </c>
      <c r="G9" s="15">
        <f>IF(F9&gt;='01_Model_Config'!$B$26, AVERAGE($D$5:D8), "N/A")</f>
        <v/>
      </c>
      <c r="H9" s="15">
        <f>IF(F9&gt;='01_Model_Config'!$B$26, STDEV.S($D$5:D8), "N/A")</f>
        <v/>
      </c>
      <c r="I9" s="22">
        <f>IF(F9&gt;='01_Model_Config'!$B$26, (D9-G9)/H9, "N/A")</f>
        <v/>
      </c>
      <c r="J9" s="30">
        <f>IF(F9&lt;'01_Model_Config'!$B$26, D9, MIN('01_Model_Config'!$B$28, MAX('01_Model_Config'!$B$27, '01_Model_Config'!$B$24 + '01_Model_Config'!$B$25 * I9)))</f>
        <v/>
      </c>
      <c r="K9" s="16">
        <f>IF(J9&gt;=80, "BUY", IF(J9&gt;=65, "ACCUMULATE", IF(J9&gt;=50, "HOLD", IF(J9&gt;=35, "REDUCE", "SELL"))))</f>
        <v/>
      </c>
      <c r="L9" s="16">
        <f>IF(J9&gt;=80, "85–100% Equities", IF(J9&gt;=65, "70–85% Equities", IF(J9&gt;=50, "40–60% Equities", IF(J9&gt;=35, "20–40% Equities", "0–20% Equities"))))</f>
        <v/>
      </c>
      <c r="M9" s="15">
        <f>STDEV.S('04_Pillar_Calculation'!C9:H9)</f>
        <v/>
      </c>
      <c r="N9" s="15">
        <f>MAX('04_Pillar_Calculation'!C9:H9) - MIN('04_Pillar_Calculation'!C9:H9)</f>
        <v/>
      </c>
      <c r="O9" s="16">
        <f>IF(M9&gt;=15, "HIGH", IF(M9&lt;=10, "LOW", "MEDIUM"))</f>
        <v/>
      </c>
      <c r="P9" s="16" t="inlineStr">
        <is>
          <t>HOLD</t>
        </is>
      </c>
    </row>
    <row r="10">
      <c r="A10" s="12">
        <f>'02_Market_Inputs'!A10</f>
        <v/>
      </c>
      <c r="B10" s="12">
        <f>'02_Market_Inputs'!B10</f>
        <v/>
      </c>
      <c r="C10" s="27">
        <f>'02_Market_Inputs'!C10</f>
        <v/>
      </c>
      <c r="D10" s="30">
        <f>'04_Pillar_Calculation'!O10</f>
        <v/>
      </c>
      <c r="E10" s="12">
        <f>IF(D10&gt;=80, "BUY", IF(D10&gt;=65, "ACCUMULATE", IF(D10&gt;=50, "HOLD", IF(D10&gt;=35, "REDUCE", "SELL"))))</f>
        <v/>
      </c>
      <c r="F10" s="29">
        <f>ROW()-ROW($D$5)</f>
        <v/>
      </c>
      <c r="G10" s="11">
        <f>IF(F10&gt;='01_Model_Config'!$B$26, AVERAGE($D$5:D9), "N/A")</f>
        <v/>
      </c>
      <c r="H10" s="11">
        <f>IF(F10&gt;='01_Model_Config'!$B$26, STDEV.S($D$5:D9), "N/A")</f>
        <v/>
      </c>
      <c r="I10" s="28">
        <f>IF(F10&gt;='01_Model_Config'!$B$26, (D10-G10)/H10, "N/A")</f>
        <v/>
      </c>
      <c r="J10" s="30">
        <f>IF(F10&lt;'01_Model_Config'!$B$26, D10, MIN('01_Model_Config'!$B$28, MAX('01_Model_Config'!$B$27, '01_Model_Config'!$B$24 + '01_Model_Config'!$B$25 * I10)))</f>
        <v/>
      </c>
      <c r="K10" s="12">
        <f>IF(J10&gt;=80, "BUY", IF(J10&gt;=65, "ACCUMULATE", IF(J10&gt;=50, "HOLD", IF(J10&gt;=35, "REDUCE", "SELL"))))</f>
        <v/>
      </c>
      <c r="L10" s="12">
        <f>IF(J10&gt;=80, "85–100% Equities", IF(J10&gt;=65, "70–85% Equities", IF(J10&gt;=50, "40–60% Equities", IF(J10&gt;=35, "20–40% Equities", "0–20% Equities"))))</f>
        <v/>
      </c>
      <c r="M10" s="11">
        <f>STDEV.S('04_Pillar_Calculation'!C10:H10)</f>
        <v/>
      </c>
      <c r="N10" s="11">
        <f>MAX('04_Pillar_Calculation'!C10:H10) - MIN('04_Pillar_Calculation'!C10:H10)</f>
        <v/>
      </c>
      <c r="O10" s="12">
        <f>IF(M10&gt;=15, "HIGH", IF(M10&lt;=10, "LOW", "MEDIUM"))</f>
        <v/>
      </c>
      <c r="P10" s="12" t="inlineStr">
        <is>
          <t>REDUCE/SELL</t>
        </is>
      </c>
    </row>
    <row r="11">
      <c r="A11" s="16">
        <f>'02_Market_Inputs'!A11</f>
        <v/>
      </c>
      <c r="B11" s="16">
        <f>'02_Market_Inputs'!B11</f>
        <v/>
      </c>
      <c r="C11" s="25">
        <f>'02_Market_Inputs'!C11</f>
        <v/>
      </c>
      <c r="D11" s="30">
        <f>'04_Pillar_Calculation'!O11</f>
        <v/>
      </c>
      <c r="E11" s="16">
        <f>IF(D11&gt;=80, "BUY", IF(D11&gt;=65, "ACCUMULATE", IF(D11&gt;=50, "HOLD", IF(D11&gt;=35, "REDUCE", "SELL"))))</f>
        <v/>
      </c>
      <c r="F11" s="26">
        <f>ROW()-ROW($D$5)</f>
        <v/>
      </c>
      <c r="G11" s="15">
        <f>IF(F11&gt;='01_Model_Config'!$B$26, AVERAGE($D$5:D10), "N/A")</f>
        <v/>
      </c>
      <c r="H11" s="15">
        <f>IF(F11&gt;='01_Model_Config'!$B$26, STDEV.S($D$5:D10), "N/A")</f>
        <v/>
      </c>
      <c r="I11" s="22">
        <f>IF(F11&gt;='01_Model_Config'!$B$26, (D11-G11)/H11, "N/A")</f>
        <v/>
      </c>
      <c r="J11" s="30">
        <f>IF(F11&lt;'01_Model_Config'!$B$26, D11, MIN('01_Model_Config'!$B$28, MAX('01_Model_Config'!$B$27, '01_Model_Config'!$B$24 + '01_Model_Config'!$B$25 * I11)))</f>
        <v/>
      </c>
      <c r="K11" s="16">
        <f>IF(J11&gt;=80, "BUY", IF(J11&gt;=65, "ACCUMULATE", IF(J11&gt;=50, "HOLD", IF(J11&gt;=35, "REDUCE", "SELL"))))</f>
        <v/>
      </c>
      <c r="L11" s="16">
        <f>IF(J11&gt;=80, "85–100% Equities", IF(J11&gt;=65, "70–85% Equities", IF(J11&gt;=50, "40–60% Equities", IF(J11&gt;=35, "20–40% Equities", "0–20% Equities"))))</f>
        <v/>
      </c>
      <c r="M11" s="15">
        <f>STDEV.S('04_Pillar_Calculation'!C11:H11)</f>
        <v/>
      </c>
      <c r="N11" s="15">
        <f>MAX('04_Pillar_Calculation'!C11:H11) - MIN('04_Pillar_Calculation'!C11:H11)</f>
        <v/>
      </c>
      <c r="O11" s="16">
        <f>IF(M11&gt;=15, "HIGH", IF(M11&lt;=10, "LOW", "MEDIUM"))</f>
        <v/>
      </c>
      <c r="P11" s="16" t="inlineStr">
        <is>
          <t>HOLD</t>
        </is>
      </c>
    </row>
    <row r="12">
      <c r="A12" s="12">
        <f>'02_Market_Inputs'!A12</f>
        <v/>
      </c>
      <c r="B12" s="12">
        <f>'02_Market_Inputs'!B12</f>
        <v/>
      </c>
      <c r="C12" s="27">
        <f>'02_Market_Inputs'!C12</f>
        <v/>
      </c>
      <c r="D12" s="30">
        <f>'04_Pillar_Calculation'!O12</f>
        <v/>
      </c>
      <c r="E12" s="12">
        <f>IF(D12&gt;=80, "BUY", IF(D12&gt;=65, "ACCUMULATE", IF(D12&gt;=50, "HOLD", IF(D12&gt;=35, "REDUCE", "SELL"))))</f>
        <v/>
      </c>
      <c r="F12" s="29">
        <f>ROW()-ROW($D$5)</f>
        <v/>
      </c>
      <c r="G12" s="11">
        <f>IF(F12&gt;='01_Model_Config'!$B$26, AVERAGE($D$5:D11), "N/A")</f>
        <v/>
      </c>
      <c r="H12" s="11">
        <f>IF(F12&gt;='01_Model_Config'!$B$26, STDEV.S($D$5:D11), "N/A")</f>
        <v/>
      </c>
      <c r="I12" s="28">
        <f>IF(F12&gt;='01_Model_Config'!$B$26, (D12-G12)/H12, "N/A")</f>
        <v/>
      </c>
      <c r="J12" s="30">
        <f>IF(F12&lt;'01_Model_Config'!$B$26, D12, MIN('01_Model_Config'!$B$28, MAX('01_Model_Config'!$B$27, '01_Model_Config'!$B$24 + '01_Model_Config'!$B$25 * I12)))</f>
        <v/>
      </c>
      <c r="K12" s="12">
        <f>IF(J12&gt;=80, "BUY", IF(J12&gt;=65, "ACCUMULATE", IF(J12&gt;=50, "HOLD", IF(J12&gt;=35, "REDUCE", "SELL"))))</f>
        <v/>
      </c>
      <c r="L12" s="12">
        <f>IF(J12&gt;=80, "85–100% Equities", IF(J12&gt;=65, "70–85% Equities", IF(J12&gt;=50, "40–60% Equities", IF(J12&gt;=35, "20–40% Equities", "0–20% Equities"))))</f>
        <v/>
      </c>
      <c r="M12" s="11">
        <f>STDEV.S('04_Pillar_Calculation'!C12:H12)</f>
        <v/>
      </c>
      <c r="N12" s="11">
        <f>MAX('04_Pillar_Calculation'!C12:H12) - MIN('04_Pillar_Calculation'!C12:H12)</f>
        <v/>
      </c>
      <c r="O12" s="12">
        <f>IF(M12&gt;=15, "HIGH", IF(M12&lt;=10, "LOW", "MEDIUM"))</f>
        <v/>
      </c>
      <c r="P12" s="12" t="inlineStr">
        <is>
          <t>REDUCE/SELL</t>
        </is>
      </c>
    </row>
    <row r="13">
      <c r="A13" s="16">
        <f>'02_Market_Inputs'!A13</f>
        <v/>
      </c>
      <c r="B13" s="16">
        <f>'02_Market_Inputs'!B13</f>
        <v/>
      </c>
      <c r="C13" s="25">
        <f>'02_Market_Inputs'!C13</f>
        <v/>
      </c>
      <c r="D13" s="30">
        <f>'04_Pillar_Calculation'!O13</f>
        <v/>
      </c>
      <c r="E13" s="16">
        <f>IF(D13&gt;=80, "BUY", IF(D13&gt;=65, "ACCUMULATE", IF(D13&gt;=50, "HOLD", IF(D13&gt;=35, "REDUCE", "SELL"))))</f>
        <v/>
      </c>
      <c r="F13" s="26">
        <f>ROW()-ROW($D$5)</f>
        <v/>
      </c>
      <c r="G13" s="15">
        <f>IF(F13&gt;='01_Model_Config'!$B$26, AVERAGE($D$5:D12), "N/A")</f>
        <v/>
      </c>
      <c r="H13" s="15">
        <f>IF(F13&gt;='01_Model_Config'!$B$26, STDEV.S($D$5:D12), "N/A")</f>
        <v/>
      </c>
      <c r="I13" s="22">
        <f>IF(F13&gt;='01_Model_Config'!$B$26, (D13-G13)/H13, "N/A")</f>
        <v/>
      </c>
      <c r="J13" s="30">
        <f>IF(F13&lt;'01_Model_Config'!$B$26, D13, MIN('01_Model_Config'!$B$28, MAX('01_Model_Config'!$B$27, '01_Model_Config'!$B$24 + '01_Model_Config'!$B$25 * I13)))</f>
        <v/>
      </c>
      <c r="K13" s="16">
        <f>IF(J13&gt;=80, "BUY", IF(J13&gt;=65, "ACCUMULATE", IF(J13&gt;=50, "HOLD", IF(J13&gt;=35, "REDUCE", "SELL"))))</f>
        <v/>
      </c>
      <c r="L13" s="16">
        <f>IF(J13&gt;=80, "85–100% Equities", IF(J13&gt;=65, "70–85% Equities", IF(J13&gt;=50, "40–60% Equities", IF(J13&gt;=35, "20–40% Equities", "0–20% Equities"))))</f>
        <v/>
      </c>
      <c r="M13" s="15">
        <f>STDEV.S('04_Pillar_Calculation'!C13:H13)</f>
        <v/>
      </c>
      <c r="N13" s="15">
        <f>MAX('04_Pillar_Calculation'!C13:H13) - MIN('04_Pillar_Calculation'!C13:H13)</f>
        <v/>
      </c>
      <c r="O13" s="16">
        <f>IF(M13&gt;=15, "HIGH", IF(M13&lt;=10, "LOW", "MEDIUM"))</f>
        <v/>
      </c>
      <c r="P13" s="16" t="inlineStr">
        <is>
          <t>BUY/ACCUMULATE</t>
        </is>
      </c>
    </row>
    <row r="14">
      <c r="A14" s="12">
        <f>'02_Market_Inputs'!A14</f>
        <v/>
      </c>
      <c r="B14" s="12">
        <f>'02_Market_Inputs'!B14</f>
        <v/>
      </c>
      <c r="C14" s="27">
        <f>'02_Market_Inputs'!C14</f>
        <v/>
      </c>
      <c r="D14" s="30">
        <f>'04_Pillar_Calculation'!O14</f>
        <v/>
      </c>
      <c r="E14" s="12">
        <f>IF(D14&gt;=80, "BUY", IF(D14&gt;=65, "ACCUMULATE", IF(D14&gt;=50, "HOLD", IF(D14&gt;=35, "REDUCE", "SELL"))))</f>
        <v/>
      </c>
      <c r="F14" s="29">
        <f>ROW()-ROW($D$5)</f>
        <v/>
      </c>
      <c r="G14" s="11">
        <f>IF(F14&gt;='01_Model_Config'!$B$26, AVERAGE($D$5:D13), "N/A")</f>
        <v/>
      </c>
      <c r="H14" s="11">
        <f>IF(F14&gt;='01_Model_Config'!$B$26, STDEV.S($D$5:D13), "N/A")</f>
        <v/>
      </c>
      <c r="I14" s="28">
        <f>IF(F14&gt;='01_Model_Config'!$B$26, (D14-G14)/H14, "N/A")</f>
        <v/>
      </c>
      <c r="J14" s="30">
        <f>IF(F14&lt;'01_Model_Config'!$B$26, D14, MIN('01_Model_Config'!$B$28, MAX('01_Model_Config'!$B$27, '01_Model_Config'!$B$24 + '01_Model_Config'!$B$25 * I14)))</f>
        <v/>
      </c>
      <c r="K14" s="12">
        <f>IF(J14&gt;=80, "BUY", IF(J14&gt;=65, "ACCUMULATE", IF(J14&gt;=50, "HOLD", IF(J14&gt;=35, "REDUCE", "SELL"))))</f>
        <v/>
      </c>
      <c r="L14" s="12">
        <f>IF(J14&gt;=80, "85–100% Equities", IF(J14&gt;=65, "70–85% Equities", IF(J14&gt;=50, "40–60% Equities", IF(J14&gt;=35, "20–40% Equities", "0–20% Equities"))))</f>
        <v/>
      </c>
      <c r="M14" s="11">
        <f>STDEV.S('04_Pillar_Calculation'!C14:H14)</f>
        <v/>
      </c>
      <c r="N14" s="11">
        <f>MAX('04_Pillar_Calculation'!C14:H14) - MIN('04_Pillar_Calculation'!C14:H14)</f>
        <v/>
      </c>
      <c r="O14" s="12">
        <f>IF(M14&gt;=15, "HIGH", IF(M14&lt;=10, "LOW", "MEDIUM"))</f>
        <v/>
      </c>
      <c r="P14" s="12" t="inlineStr">
        <is>
          <t>HOLD</t>
        </is>
      </c>
    </row>
    <row r="15">
      <c r="A15" s="16">
        <f>'02_Market_Inputs'!A15</f>
        <v/>
      </c>
      <c r="B15" s="16">
        <f>'02_Market_Inputs'!B15</f>
        <v/>
      </c>
      <c r="C15" s="25">
        <f>'02_Market_Inputs'!C15</f>
        <v/>
      </c>
      <c r="D15" s="30">
        <f>'04_Pillar_Calculation'!O15</f>
        <v/>
      </c>
      <c r="E15" s="16">
        <f>IF(D15&gt;=80, "BUY", IF(D15&gt;=65, "ACCUMULATE", IF(D15&gt;=50, "HOLD", IF(D15&gt;=35, "REDUCE", "SELL"))))</f>
        <v/>
      </c>
      <c r="F15" s="26">
        <f>ROW()-ROW($D$5)</f>
        <v/>
      </c>
      <c r="G15" s="15">
        <f>IF(F15&gt;='01_Model_Config'!$B$26, AVERAGE($D$5:D14), "N/A")</f>
        <v/>
      </c>
      <c r="H15" s="15">
        <f>IF(F15&gt;='01_Model_Config'!$B$26, STDEV.S($D$5:D14), "N/A")</f>
        <v/>
      </c>
      <c r="I15" s="22">
        <f>IF(F15&gt;='01_Model_Config'!$B$26, (D15-G15)/H15, "N/A")</f>
        <v/>
      </c>
      <c r="J15" s="30">
        <f>IF(F15&lt;'01_Model_Config'!$B$26, D15, MIN('01_Model_Config'!$B$28, MAX('01_Model_Config'!$B$27, '01_Model_Config'!$B$24 + '01_Model_Config'!$B$25 * I15)))</f>
        <v/>
      </c>
      <c r="K15" s="16">
        <f>IF(J15&gt;=80, "BUY", IF(J15&gt;=65, "ACCUMULATE", IF(J15&gt;=50, "HOLD", IF(J15&gt;=35, "REDUCE", "SELL"))))</f>
        <v/>
      </c>
      <c r="L15" s="16">
        <f>IF(J15&gt;=80, "85–100% Equities", IF(J15&gt;=65, "70–85% Equities", IF(J15&gt;=50, "40–60% Equities", IF(J15&gt;=35, "20–40% Equities", "0–20% Equities"))))</f>
        <v/>
      </c>
      <c r="M15" s="15">
        <f>STDEV.S('04_Pillar_Calculation'!C15:H15)</f>
        <v/>
      </c>
      <c r="N15" s="15">
        <f>MAX('04_Pillar_Calculation'!C15:H15) - MIN('04_Pillar_Calculation'!C15:H15)</f>
        <v/>
      </c>
      <c r="O15" s="16">
        <f>IF(M15&gt;=15, "HIGH", IF(M15&lt;=10, "LOW", "MEDIUM"))</f>
        <v/>
      </c>
      <c r="P15" s="16" t="inlineStr">
        <is>
          <t>HOLD</t>
        </is>
      </c>
    </row>
    <row r="16">
      <c r="A16" s="12">
        <f>'02_Market_Inputs'!A16</f>
        <v/>
      </c>
      <c r="B16" s="12">
        <f>'02_Market_Inputs'!B16</f>
        <v/>
      </c>
      <c r="C16" s="27">
        <f>'02_Market_Inputs'!C16</f>
        <v/>
      </c>
      <c r="D16" s="30">
        <f>'04_Pillar_Calculation'!O16</f>
        <v/>
      </c>
      <c r="E16" s="12">
        <f>IF(D16&gt;=80, "BUY", IF(D16&gt;=65, "ACCUMULATE", IF(D16&gt;=50, "HOLD", IF(D16&gt;=35, "REDUCE", "SELL"))))</f>
        <v/>
      </c>
      <c r="F16" s="29">
        <f>ROW()-ROW($D$5)</f>
        <v/>
      </c>
      <c r="G16" s="11">
        <f>IF(F16&gt;='01_Model_Config'!$B$26, AVERAGE($D$5:D15), "N/A")</f>
        <v/>
      </c>
      <c r="H16" s="11">
        <f>IF(F16&gt;='01_Model_Config'!$B$26, STDEV.S($D$5:D15), "N/A")</f>
        <v/>
      </c>
      <c r="I16" s="28">
        <f>IF(F16&gt;='01_Model_Config'!$B$26, (D16-G16)/H16, "N/A")</f>
        <v/>
      </c>
      <c r="J16" s="30">
        <f>IF(F16&lt;'01_Model_Config'!$B$26, D16, MIN('01_Model_Config'!$B$28, MAX('01_Model_Config'!$B$27, '01_Model_Config'!$B$24 + '01_Model_Config'!$B$25 * I16)))</f>
        <v/>
      </c>
      <c r="K16" s="12">
        <f>IF(J16&gt;=80, "BUY", IF(J16&gt;=65, "ACCUMULATE", IF(J16&gt;=50, "HOLD", IF(J16&gt;=35, "REDUCE", "SELL"))))</f>
        <v/>
      </c>
      <c r="L16" s="12">
        <f>IF(J16&gt;=80, "85–100% Equities", IF(J16&gt;=65, "70–85% Equities", IF(J16&gt;=50, "40–60% Equities", IF(J16&gt;=35, "20–40% Equities", "0–20% Equities"))))</f>
        <v/>
      </c>
      <c r="M16" s="11">
        <f>STDEV.S('04_Pillar_Calculation'!C16:H16)</f>
        <v/>
      </c>
      <c r="N16" s="11">
        <f>MAX('04_Pillar_Calculation'!C16:H16) - MIN('04_Pillar_Calculation'!C16:H16)</f>
        <v/>
      </c>
      <c r="O16" s="12">
        <f>IF(M16&gt;=15, "HIGH", IF(M16&lt;=10, "LOW", "MEDIUM"))</f>
        <v/>
      </c>
      <c r="P16" s="12" t="inlineStr">
        <is>
          <t>REDUCE/SELL</t>
        </is>
      </c>
    </row>
    <row r="17">
      <c r="A17" s="16">
        <f>'02_Market_Inputs'!A17</f>
        <v/>
      </c>
      <c r="B17" s="16">
        <f>'02_Market_Inputs'!B17</f>
        <v/>
      </c>
      <c r="C17" s="25">
        <f>'02_Market_Inputs'!C17</f>
        <v/>
      </c>
      <c r="D17" s="30">
        <f>'04_Pillar_Calculation'!O17</f>
        <v/>
      </c>
      <c r="E17" s="16">
        <f>IF(D17&gt;=80, "BUY", IF(D17&gt;=65, "ACCUMULATE", IF(D17&gt;=50, "HOLD", IF(D17&gt;=35, "REDUCE", "SELL"))))</f>
        <v/>
      </c>
      <c r="F17" s="26">
        <f>ROW()-ROW($D$5)</f>
        <v/>
      </c>
      <c r="G17" s="15">
        <f>IF(F17&gt;='01_Model_Config'!$B$26, AVERAGE($D$5:D16), "N/A")</f>
        <v/>
      </c>
      <c r="H17" s="15">
        <f>IF(F17&gt;='01_Model_Config'!$B$26, STDEV.S($D$5:D16), "N/A")</f>
        <v/>
      </c>
      <c r="I17" s="22">
        <f>IF(F17&gt;='01_Model_Config'!$B$26, (D17-G17)/H17, "N/A")</f>
        <v/>
      </c>
      <c r="J17" s="30">
        <f>IF(F17&lt;'01_Model_Config'!$B$26, D17, MIN('01_Model_Config'!$B$28, MAX('01_Model_Config'!$B$27, '01_Model_Config'!$B$24 + '01_Model_Config'!$B$25 * I17)))</f>
        <v/>
      </c>
      <c r="K17" s="16">
        <f>IF(J17&gt;=80, "BUY", IF(J17&gt;=65, "ACCUMULATE", IF(J17&gt;=50, "HOLD", IF(J17&gt;=35, "REDUCE", "SELL"))))</f>
        <v/>
      </c>
      <c r="L17" s="16">
        <f>IF(J17&gt;=80, "85–100% Equities", IF(J17&gt;=65, "70–85% Equities", IF(J17&gt;=50, "40–60% Equities", IF(J17&gt;=35, "20–40% Equities", "0–20% Equities"))))</f>
        <v/>
      </c>
      <c r="M17" s="15">
        <f>STDEV.S('04_Pillar_Calculation'!C17:H17)</f>
        <v/>
      </c>
      <c r="N17" s="15">
        <f>MAX('04_Pillar_Calculation'!C17:H17) - MIN('04_Pillar_Calculation'!C17:H17)</f>
        <v/>
      </c>
      <c r="O17" s="16">
        <f>IF(M17&gt;=15, "HIGH", IF(M17&lt;=10, "LOW", "MEDIUM"))</f>
        <v/>
      </c>
      <c r="P17" s="16" t="inlineStr">
        <is>
          <t>REDUCE/SELL</t>
        </is>
      </c>
    </row>
    <row r="18">
      <c r="A18" s="12">
        <f>'02_Market_Inputs'!A18</f>
        <v/>
      </c>
      <c r="B18" s="12">
        <f>'02_Market_Inputs'!B18</f>
        <v/>
      </c>
      <c r="C18" s="27">
        <f>'02_Market_Inputs'!C18</f>
        <v/>
      </c>
      <c r="D18" s="30">
        <f>'04_Pillar_Calculation'!O18</f>
        <v/>
      </c>
      <c r="E18" s="12">
        <f>IF(D18&gt;=80, "BUY", IF(D18&gt;=65, "ACCUMULATE", IF(D18&gt;=50, "HOLD", IF(D18&gt;=35, "REDUCE", "SELL"))))</f>
        <v/>
      </c>
      <c r="F18" s="29">
        <f>ROW()-ROW($D$5)</f>
        <v/>
      </c>
      <c r="G18" s="11">
        <f>IF(F18&gt;='01_Model_Config'!$B$26, AVERAGE($D$5:D17), "N/A")</f>
        <v/>
      </c>
      <c r="H18" s="11">
        <f>IF(F18&gt;='01_Model_Config'!$B$26, STDEV.S($D$5:D17), "N/A")</f>
        <v/>
      </c>
      <c r="I18" s="28">
        <f>IF(F18&gt;='01_Model_Config'!$B$26, (D18-G18)/H18, "N/A")</f>
        <v/>
      </c>
      <c r="J18" s="30">
        <f>IF(F18&lt;'01_Model_Config'!$B$26, D18, MIN('01_Model_Config'!$B$28, MAX('01_Model_Config'!$B$27, '01_Model_Config'!$B$24 + '01_Model_Config'!$B$25 * I18)))</f>
        <v/>
      </c>
      <c r="K18" s="12">
        <f>IF(J18&gt;=80, "BUY", IF(J18&gt;=65, "ACCUMULATE", IF(J18&gt;=50, "HOLD", IF(J18&gt;=35, "REDUCE", "SELL"))))</f>
        <v/>
      </c>
      <c r="L18" s="12">
        <f>IF(J18&gt;=80, "85–100% Equities", IF(J18&gt;=65, "70–85% Equities", IF(J18&gt;=50, "40–60% Equities", IF(J18&gt;=35, "20–40% Equities", "0–20% Equities"))))</f>
        <v/>
      </c>
      <c r="M18" s="11">
        <f>STDEV.S('04_Pillar_Calculation'!C18:H18)</f>
        <v/>
      </c>
      <c r="N18" s="11">
        <f>MAX('04_Pillar_Calculation'!C18:H18) - MIN('04_Pillar_Calculation'!C18:H18)</f>
        <v/>
      </c>
      <c r="O18" s="12">
        <f>IF(M18&gt;=15, "HIGH", IF(M18&lt;=10, "LOW", "MEDIUM"))</f>
        <v/>
      </c>
      <c r="P18" s="12" t="inlineStr">
        <is>
          <t>HOLD</t>
        </is>
      </c>
    </row>
    <row r="19">
      <c r="A19" s="16">
        <f>'02_Market_Inputs'!A19</f>
        <v/>
      </c>
      <c r="B19" s="16">
        <f>'02_Market_Inputs'!B19</f>
        <v/>
      </c>
      <c r="C19" s="25">
        <f>'02_Market_Inputs'!C19</f>
        <v/>
      </c>
      <c r="D19" s="30">
        <f>'04_Pillar_Calculation'!O19</f>
        <v/>
      </c>
      <c r="E19" s="16">
        <f>IF(D19&gt;=80, "BUY", IF(D19&gt;=65, "ACCUMULATE", IF(D19&gt;=50, "HOLD", IF(D19&gt;=35, "REDUCE", "SELL"))))</f>
        <v/>
      </c>
      <c r="F19" s="26">
        <f>ROW()-ROW($D$5)</f>
        <v/>
      </c>
      <c r="G19" s="15">
        <f>IF(F19&gt;='01_Model_Config'!$B$26, AVERAGE($D$5:D18), "N/A")</f>
        <v/>
      </c>
      <c r="H19" s="15">
        <f>IF(F19&gt;='01_Model_Config'!$B$26, STDEV.S($D$5:D18), "N/A")</f>
        <v/>
      </c>
      <c r="I19" s="22">
        <f>IF(F19&gt;='01_Model_Config'!$B$26, (D19-G19)/H19, "N/A")</f>
        <v/>
      </c>
      <c r="J19" s="30">
        <f>IF(F19&lt;'01_Model_Config'!$B$26, D19, MIN('01_Model_Config'!$B$28, MAX('01_Model_Config'!$B$27, '01_Model_Config'!$B$24 + '01_Model_Config'!$B$25 * I19)))</f>
        <v/>
      </c>
      <c r="K19" s="16">
        <f>IF(J19&gt;=80, "BUY", IF(J19&gt;=65, "ACCUMULATE", IF(J19&gt;=50, "HOLD", IF(J19&gt;=35, "REDUCE", "SELL"))))</f>
        <v/>
      </c>
      <c r="L19" s="16">
        <f>IF(J19&gt;=80, "85–100% Equities", IF(J19&gt;=65, "70–85% Equities", IF(J19&gt;=50, "40–60% Equities", IF(J19&gt;=35, "20–40% Equities", "0–20% Equities"))))</f>
        <v/>
      </c>
      <c r="M19" s="15">
        <f>STDEV.S('04_Pillar_Calculation'!C19:H19)</f>
        <v/>
      </c>
      <c r="N19" s="15">
        <f>MAX('04_Pillar_Calculation'!C19:H19) - MIN('04_Pillar_Calculation'!C19:H19)</f>
        <v/>
      </c>
      <c r="O19" s="16">
        <f>IF(M19&gt;=15, "HIGH", IF(M19&lt;=10, "LOW", "MEDIUM"))</f>
        <v/>
      </c>
      <c r="P19" s="16" t="inlineStr">
        <is>
          <t>HOLD</t>
        </is>
      </c>
    </row>
    <row r="20">
      <c r="A20" s="12">
        <f>'02_Market_Inputs'!A20</f>
        <v/>
      </c>
      <c r="B20" s="12">
        <f>'02_Market_Inputs'!B20</f>
        <v/>
      </c>
      <c r="C20" s="27">
        <f>'02_Market_Inputs'!C20</f>
        <v/>
      </c>
      <c r="D20" s="30">
        <f>'04_Pillar_Calculation'!O20</f>
        <v/>
      </c>
      <c r="E20" s="12">
        <f>IF(D20&gt;=80, "BUY", IF(D20&gt;=65, "ACCUMULATE", IF(D20&gt;=50, "HOLD", IF(D20&gt;=35, "REDUCE", "SELL"))))</f>
        <v/>
      </c>
      <c r="F20" s="29">
        <f>ROW()-ROW($D$5)</f>
        <v/>
      </c>
      <c r="G20" s="11">
        <f>IF(F20&gt;='01_Model_Config'!$B$26, AVERAGE($D$5:D19), "N/A")</f>
        <v/>
      </c>
      <c r="H20" s="11">
        <f>IF(F20&gt;='01_Model_Config'!$B$26, STDEV.S($D$5:D19), "N/A")</f>
        <v/>
      </c>
      <c r="I20" s="28">
        <f>IF(F20&gt;='01_Model_Config'!$B$26, (D20-G20)/H20, "N/A")</f>
        <v/>
      </c>
      <c r="J20" s="30">
        <f>IF(F20&lt;'01_Model_Config'!$B$26, D20, MIN('01_Model_Config'!$B$28, MAX('01_Model_Config'!$B$27, '01_Model_Config'!$B$24 + '01_Model_Config'!$B$25 * I20)))</f>
        <v/>
      </c>
      <c r="K20" s="12">
        <f>IF(J20&gt;=80, "BUY", IF(J20&gt;=65, "ACCUMULATE", IF(J20&gt;=50, "HOLD", IF(J20&gt;=35, "REDUCE", "SELL"))))</f>
        <v/>
      </c>
      <c r="L20" s="12">
        <f>IF(J20&gt;=80, "85–100% Equities", IF(J20&gt;=65, "70–85% Equities", IF(J20&gt;=50, "40–60% Equities", IF(J20&gt;=35, "20–40% Equities", "0–20% Equities"))))</f>
        <v/>
      </c>
      <c r="M20" s="11">
        <f>STDEV.S('04_Pillar_Calculation'!C20:H20)</f>
        <v/>
      </c>
      <c r="N20" s="11">
        <f>MAX('04_Pillar_Calculation'!C20:H20) - MIN('04_Pillar_Calculation'!C20:H20)</f>
        <v/>
      </c>
      <c r="O20" s="12">
        <f>IF(M20&gt;=15, "HIGH", IF(M20&lt;=10, "LOW", "MEDIUM"))</f>
        <v/>
      </c>
      <c r="P20" s="12" t="inlineStr">
        <is>
          <t>HOLD</t>
        </is>
      </c>
    </row>
    <row r="21">
      <c r="A21" s="16">
        <f>'02_Market_Inputs'!A21</f>
        <v/>
      </c>
      <c r="B21" s="16">
        <f>'02_Market_Inputs'!B21</f>
        <v/>
      </c>
      <c r="C21" s="25">
        <f>'02_Market_Inputs'!C21</f>
        <v/>
      </c>
      <c r="D21" s="30">
        <f>'04_Pillar_Calculation'!O21</f>
        <v/>
      </c>
      <c r="E21" s="16">
        <f>IF(D21&gt;=80, "BUY", IF(D21&gt;=65, "ACCUMULATE", IF(D21&gt;=50, "HOLD", IF(D21&gt;=35, "REDUCE", "SELL"))))</f>
        <v/>
      </c>
      <c r="F21" s="26">
        <f>ROW()-ROW($D$5)</f>
        <v/>
      </c>
      <c r="G21" s="15">
        <f>IF(F21&gt;='01_Model_Config'!$B$26, AVERAGE($D$5:D20), "N/A")</f>
        <v/>
      </c>
      <c r="H21" s="15">
        <f>IF(F21&gt;='01_Model_Config'!$B$26, STDEV.S($D$5:D20), "N/A")</f>
        <v/>
      </c>
      <c r="I21" s="22">
        <f>IF(F21&gt;='01_Model_Config'!$B$26, (D21-G21)/H21, "N/A")</f>
        <v/>
      </c>
      <c r="J21" s="30">
        <f>IF(F21&lt;'01_Model_Config'!$B$26, D21, MIN('01_Model_Config'!$B$28, MAX('01_Model_Config'!$B$27, '01_Model_Config'!$B$24 + '01_Model_Config'!$B$25 * I21)))</f>
        <v/>
      </c>
      <c r="K21" s="16">
        <f>IF(J21&gt;=80, "BUY", IF(J21&gt;=65, "ACCUMULATE", IF(J21&gt;=50, "HOLD", IF(J21&gt;=35, "REDUCE", "SELL"))))</f>
        <v/>
      </c>
      <c r="L21" s="16">
        <f>IF(J21&gt;=80, "85–100% Equities", IF(J21&gt;=65, "70–85% Equities", IF(J21&gt;=50, "40–60% Equities", IF(J21&gt;=35, "20–40% Equities", "0–20% Equities"))))</f>
        <v/>
      </c>
      <c r="M21" s="15">
        <f>STDEV.S('04_Pillar_Calculation'!C21:H21)</f>
        <v/>
      </c>
      <c r="N21" s="15">
        <f>MAX('04_Pillar_Calculation'!C21:H21) - MIN('04_Pillar_Calculation'!C21:H21)</f>
        <v/>
      </c>
      <c r="O21" s="16">
        <f>IF(M21&gt;=15, "HIGH", IF(M21&lt;=10, "LOW", "MEDIUM"))</f>
        <v/>
      </c>
      <c r="P21" s="16" t="inlineStr">
        <is>
          <t>HOLD</t>
        </is>
      </c>
    </row>
    <row r="22">
      <c r="A22" s="12">
        <f>'02_Market_Inputs'!A22</f>
        <v/>
      </c>
      <c r="B22" s="12">
        <f>'02_Market_Inputs'!B22</f>
        <v/>
      </c>
      <c r="C22" s="27">
        <f>'02_Market_Inputs'!C22</f>
        <v/>
      </c>
      <c r="D22" s="30">
        <f>'04_Pillar_Calculation'!O22</f>
        <v/>
      </c>
      <c r="E22" s="12">
        <f>IF(D22&gt;=80, "BUY", IF(D22&gt;=65, "ACCUMULATE", IF(D22&gt;=50, "HOLD", IF(D22&gt;=35, "REDUCE", "SELL"))))</f>
        <v/>
      </c>
      <c r="F22" s="29">
        <f>ROW()-ROW($D$5)</f>
        <v/>
      </c>
      <c r="G22" s="11">
        <f>IF(F22&gt;='01_Model_Config'!$B$26, AVERAGE($D$5:D21), "N/A")</f>
        <v/>
      </c>
      <c r="H22" s="11">
        <f>IF(F22&gt;='01_Model_Config'!$B$26, STDEV.S($D$5:D21), "N/A")</f>
        <v/>
      </c>
      <c r="I22" s="28">
        <f>IF(F22&gt;='01_Model_Config'!$B$26, (D22-G22)/H22, "N/A")</f>
        <v/>
      </c>
      <c r="J22" s="30">
        <f>IF(F22&lt;'01_Model_Config'!$B$26, D22, MIN('01_Model_Config'!$B$28, MAX('01_Model_Config'!$B$27, '01_Model_Config'!$B$24 + '01_Model_Config'!$B$25 * I22)))</f>
        <v/>
      </c>
      <c r="K22" s="12">
        <f>IF(J22&gt;=80, "BUY", IF(J22&gt;=65, "ACCUMULATE", IF(J22&gt;=50, "HOLD", IF(J22&gt;=35, "REDUCE", "SELL"))))</f>
        <v/>
      </c>
      <c r="L22" s="12">
        <f>IF(J22&gt;=80, "85–100% Equities", IF(J22&gt;=65, "70–85% Equities", IF(J22&gt;=50, "40–60% Equities", IF(J22&gt;=35, "20–40% Equities", "0–20% Equities"))))</f>
        <v/>
      </c>
      <c r="M22" s="11">
        <f>STDEV.S('04_Pillar_Calculation'!C22:H22)</f>
        <v/>
      </c>
      <c r="N22" s="11">
        <f>MAX('04_Pillar_Calculation'!C22:H22) - MIN('04_Pillar_Calculation'!C22:H22)</f>
        <v/>
      </c>
      <c r="O22" s="12">
        <f>IF(M22&gt;=15, "HIGH", IF(M22&lt;=10, "LOW", "MEDIUM"))</f>
        <v/>
      </c>
      <c r="P22" s="12" t="inlineStr">
        <is>
          <t>HOLD</t>
        </is>
      </c>
    </row>
    <row r="23">
      <c r="A23" s="16">
        <f>'02_Market_Inputs'!A23</f>
        <v/>
      </c>
      <c r="B23" s="16">
        <f>'02_Market_Inputs'!B23</f>
        <v/>
      </c>
      <c r="C23" s="25">
        <f>'02_Market_Inputs'!C23</f>
        <v/>
      </c>
      <c r="D23" s="30">
        <f>'04_Pillar_Calculation'!O23</f>
        <v/>
      </c>
      <c r="E23" s="16">
        <f>IF(D23&gt;=80, "BUY", IF(D23&gt;=65, "ACCUMULATE", IF(D23&gt;=50, "HOLD", IF(D23&gt;=35, "REDUCE", "SELL"))))</f>
        <v/>
      </c>
      <c r="F23" s="26">
        <f>ROW()-ROW($D$5)</f>
        <v/>
      </c>
      <c r="G23" s="15">
        <f>IF(F23&gt;='01_Model_Config'!$B$26, AVERAGE($D$5:D22), "N/A")</f>
        <v/>
      </c>
      <c r="H23" s="15">
        <f>IF(F23&gt;='01_Model_Config'!$B$26, STDEV.S($D$5:D22), "N/A")</f>
        <v/>
      </c>
      <c r="I23" s="22">
        <f>IF(F23&gt;='01_Model_Config'!$B$26, (D23-G23)/H23, "N/A")</f>
        <v/>
      </c>
      <c r="J23" s="30">
        <f>IF(F23&lt;'01_Model_Config'!$B$26, D23, MIN('01_Model_Config'!$B$28, MAX('01_Model_Config'!$B$27, '01_Model_Config'!$B$24 + '01_Model_Config'!$B$25 * I23)))</f>
        <v/>
      </c>
      <c r="K23" s="16">
        <f>IF(J23&gt;=80, "BUY", IF(J23&gt;=65, "ACCUMULATE", IF(J23&gt;=50, "HOLD", IF(J23&gt;=35, "REDUCE", "SELL"))))</f>
        <v/>
      </c>
      <c r="L23" s="16">
        <f>IF(J23&gt;=80, "85–100% Equities", IF(J23&gt;=65, "70–85% Equities", IF(J23&gt;=50, "40–60% Equities", IF(J23&gt;=35, "20–40% Equities", "0–20% Equities"))))</f>
        <v/>
      </c>
      <c r="M23" s="15">
        <f>STDEV.S('04_Pillar_Calculation'!C23:H23)</f>
        <v/>
      </c>
      <c r="N23" s="15">
        <f>MAX('04_Pillar_Calculation'!C23:H23) - MIN('04_Pillar_Calculation'!C23:H23)</f>
        <v/>
      </c>
      <c r="O23" s="16">
        <f>IF(M23&gt;=15, "HIGH", IF(M23&lt;=10, "LOW", "MEDIUM"))</f>
        <v/>
      </c>
      <c r="P23" s="16" t="inlineStr">
        <is>
          <t>HOLD</t>
        </is>
      </c>
    </row>
    <row r="24">
      <c r="A24" s="12">
        <f>'02_Market_Inputs'!A24</f>
        <v/>
      </c>
      <c r="B24" s="12">
        <f>'02_Market_Inputs'!B24</f>
        <v/>
      </c>
      <c r="C24" s="27">
        <f>'02_Market_Inputs'!C24</f>
        <v/>
      </c>
      <c r="D24" s="30">
        <f>'04_Pillar_Calculation'!O24</f>
        <v/>
      </c>
      <c r="E24" s="12">
        <f>IF(D24&gt;=80, "BUY", IF(D24&gt;=65, "ACCUMULATE", IF(D24&gt;=50, "HOLD", IF(D24&gt;=35, "REDUCE", "SELL"))))</f>
        <v/>
      </c>
      <c r="F24" s="29">
        <f>ROW()-ROW($D$5)</f>
        <v/>
      </c>
      <c r="G24" s="11">
        <f>IF(F24&gt;='01_Model_Config'!$B$26, AVERAGE($D$5:D23), "N/A")</f>
        <v/>
      </c>
      <c r="H24" s="11">
        <f>IF(F24&gt;='01_Model_Config'!$B$26, STDEV.S($D$5:D23), "N/A")</f>
        <v/>
      </c>
      <c r="I24" s="28">
        <f>IF(F24&gt;='01_Model_Config'!$B$26, (D24-G24)/H24, "N/A")</f>
        <v/>
      </c>
      <c r="J24" s="30">
        <f>IF(F24&lt;'01_Model_Config'!$B$26, D24, MIN('01_Model_Config'!$B$28, MAX('01_Model_Config'!$B$27, '01_Model_Config'!$B$24 + '01_Model_Config'!$B$25 * I24)))</f>
        <v/>
      </c>
      <c r="K24" s="12">
        <f>IF(J24&gt;=80, "BUY", IF(J24&gt;=65, "ACCUMULATE", IF(J24&gt;=50, "HOLD", IF(J24&gt;=35, "REDUCE", "SELL"))))</f>
        <v/>
      </c>
      <c r="L24" s="12">
        <f>IF(J24&gt;=80, "85–100% Equities", IF(J24&gt;=65, "70–85% Equities", IF(J24&gt;=50, "40–60% Equities", IF(J24&gt;=35, "20–40% Equities", "0–20% Equities"))))</f>
        <v/>
      </c>
      <c r="M24" s="11">
        <f>STDEV.S('04_Pillar_Calculation'!C24:H24)</f>
        <v/>
      </c>
      <c r="N24" s="11">
        <f>MAX('04_Pillar_Calculation'!C24:H24) - MIN('04_Pillar_Calculation'!C24:H24)</f>
        <v/>
      </c>
      <c r="O24" s="12">
        <f>IF(M24&gt;=15, "HIGH", IF(M24&lt;=10, "LOW", "MEDIUM"))</f>
        <v/>
      </c>
      <c r="P24" s="12" t="inlineStr">
        <is>
          <t>HOLD</t>
        </is>
      </c>
    </row>
    <row r="25">
      <c r="A25" s="16">
        <f>'02_Market_Inputs'!A25</f>
        <v/>
      </c>
      <c r="B25" s="16">
        <f>'02_Market_Inputs'!B25</f>
        <v/>
      </c>
      <c r="C25" s="25">
        <f>'02_Market_Inputs'!C25</f>
        <v/>
      </c>
      <c r="D25" s="30">
        <f>'04_Pillar_Calculation'!O25</f>
        <v/>
      </c>
      <c r="E25" s="16">
        <f>IF(D25&gt;=80, "BUY", IF(D25&gt;=65, "ACCUMULATE", IF(D25&gt;=50, "HOLD", IF(D25&gt;=35, "REDUCE", "SELL"))))</f>
        <v/>
      </c>
      <c r="F25" s="26">
        <f>ROW()-ROW($D$5)</f>
        <v/>
      </c>
      <c r="G25" s="15">
        <f>IF(F25&gt;='01_Model_Config'!$B$26, AVERAGE($D$5:D24), "N/A")</f>
        <v/>
      </c>
      <c r="H25" s="15">
        <f>IF(F25&gt;='01_Model_Config'!$B$26, STDEV.S($D$5:D24), "N/A")</f>
        <v/>
      </c>
      <c r="I25" s="22">
        <f>IF(F25&gt;='01_Model_Config'!$B$26, (D25-G25)/H25, "N/A")</f>
        <v/>
      </c>
      <c r="J25" s="30">
        <f>IF(F25&lt;'01_Model_Config'!$B$26, D25, MIN('01_Model_Config'!$B$28, MAX('01_Model_Config'!$B$27, '01_Model_Config'!$B$24 + '01_Model_Config'!$B$25 * I25)))</f>
        <v/>
      </c>
      <c r="K25" s="16">
        <f>IF(J25&gt;=80, "BUY", IF(J25&gt;=65, "ACCUMULATE", IF(J25&gt;=50, "HOLD", IF(J25&gt;=35, "REDUCE", "SELL"))))</f>
        <v/>
      </c>
      <c r="L25" s="16">
        <f>IF(J25&gt;=80, "85–100% Equities", IF(J25&gt;=65, "70–85% Equities", IF(J25&gt;=50, "40–60% Equities", IF(J25&gt;=35, "20–40% Equities", "0–20% Equities"))))</f>
        <v/>
      </c>
      <c r="M25" s="15">
        <f>STDEV.S('04_Pillar_Calculation'!C25:H25)</f>
        <v/>
      </c>
      <c r="N25" s="15">
        <f>MAX('04_Pillar_Calculation'!C25:H25) - MIN('04_Pillar_Calculation'!C25:H25)</f>
        <v/>
      </c>
      <c r="O25" s="16">
        <f>IF(M25&gt;=15, "HIGH", IF(M25&lt;=10, "LOW", "MEDIUM"))</f>
        <v/>
      </c>
      <c r="P25" s="16" t="inlineStr">
        <is>
          <t>REDUCE/SELL</t>
        </is>
      </c>
    </row>
    <row r="26">
      <c r="A26" s="12">
        <f>'02_Market_Inputs'!A26</f>
        <v/>
      </c>
      <c r="B26" s="12">
        <f>'02_Market_Inputs'!B26</f>
        <v/>
      </c>
      <c r="C26" s="27">
        <f>'02_Market_Inputs'!C26</f>
        <v/>
      </c>
      <c r="D26" s="30">
        <f>'04_Pillar_Calculation'!O26</f>
        <v/>
      </c>
      <c r="E26" s="12">
        <f>IF(D26&gt;=80, "BUY", IF(D26&gt;=65, "ACCUMULATE", IF(D26&gt;=50, "HOLD", IF(D26&gt;=35, "REDUCE", "SELL"))))</f>
        <v/>
      </c>
      <c r="F26" s="29">
        <f>ROW()-ROW($D$5)</f>
        <v/>
      </c>
      <c r="G26" s="11">
        <f>IF(F26&gt;='01_Model_Config'!$B$26, AVERAGE($D$5:D25), "N/A")</f>
        <v/>
      </c>
      <c r="H26" s="11">
        <f>IF(F26&gt;='01_Model_Config'!$B$26, STDEV.S($D$5:D25), "N/A")</f>
        <v/>
      </c>
      <c r="I26" s="28">
        <f>IF(F26&gt;='01_Model_Config'!$B$26, (D26-G26)/H26, "N/A")</f>
        <v/>
      </c>
      <c r="J26" s="30">
        <f>IF(F26&lt;'01_Model_Config'!$B$26, D26, MIN('01_Model_Config'!$B$28, MAX('01_Model_Config'!$B$27, '01_Model_Config'!$B$24 + '01_Model_Config'!$B$25 * I26)))</f>
        <v/>
      </c>
      <c r="K26" s="12">
        <f>IF(J26&gt;=80, "BUY", IF(J26&gt;=65, "ACCUMULATE", IF(J26&gt;=50, "HOLD", IF(J26&gt;=35, "REDUCE", "SELL"))))</f>
        <v/>
      </c>
      <c r="L26" s="12">
        <f>IF(J26&gt;=80, "85–100% Equities", IF(J26&gt;=65, "70–85% Equities", IF(J26&gt;=50, "40–60% Equities", IF(J26&gt;=35, "20–40% Equities", "0–20% Equities"))))</f>
        <v/>
      </c>
      <c r="M26" s="11">
        <f>STDEV.S('04_Pillar_Calculation'!C26:H26)</f>
        <v/>
      </c>
      <c r="N26" s="11">
        <f>MAX('04_Pillar_Calculation'!C26:H26) - MIN('04_Pillar_Calculation'!C26:H26)</f>
        <v/>
      </c>
      <c r="O26" s="12">
        <f>IF(M26&gt;=15, "HIGH", IF(M26&lt;=10, "LOW", "MEDIUM"))</f>
        <v/>
      </c>
      <c r="P26" s="12" t="inlineStr">
        <is>
          <t>REDUCE/SELL</t>
        </is>
      </c>
    </row>
    <row r="27">
      <c r="A27" s="16">
        <f>'02_Market_Inputs'!A27</f>
        <v/>
      </c>
      <c r="B27" s="16">
        <f>'02_Market_Inputs'!B27</f>
        <v/>
      </c>
      <c r="C27" s="25">
        <f>'02_Market_Inputs'!C27</f>
        <v/>
      </c>
      <c r="D27" s="30">
        <f>'04_Pillar_Calculation'!O27</f>
        <v/>
      </c>
      <c r="E27" s="16">
        <f>IF(D27&gt;=80, "BUY", IF(D27&gt;=65, "ACCUMULATE", IF(D27&gt;=50, "HOLD", IF(D27&gt;=35, "REDUCE", "SELL"))))</f>
        <v/>
      </c>
      <c r="F27" s="26">
        <f>ROW()-ROW($D$5)</f>
        <v/>
      </c>
      <c r="G27" s="15">
        <f>IF(F27&gt;='01_Model_Config'!$B$26, AVERAGE($D$5:D26), "N/A")</f>
        <v/>
      </c>
      <c r="H27" s="15">
        <f>IF(F27&gt;='01_Model_Config'!$B$26, STDEV.S($D$5:D26), "N/A")</f>
        <v/>
      </c>
      <c r="I27" s="22">
        <f>IF(F27&gt;='01_Model_Config'!$B$26, (D27-G27)/H27, "N/A")</f>
        <v/>
      </c>
      <c r="J27" s="30">
        <f>IF(F27&lt;'01_Model_Config'!$B$26, D27, MIN('01_Model_Config'!$B$28, MAX('01_Model_Config'!$B$27, '01_Model_Config'!$B$24 + '01_Model_Config'!$B$25 * I27)))</f>
        <v/>
      </c>
      <c r="K27" s="16">
        <f>IF(J27&gt;=80, "BUY", IF(J27&gt;=65, "ACCUMULATE", IF(J27&gt;=50, "HOLD", IF(J27&gt;=35, "REDUCE", "SELL"))))</f>
        <v/>
      </c>
      <c r="L27" s="16">
        <f>IF(J27&gt;=80, "85–100% Equities", IF(J27&gt;=65, "70–85% Equities", IF(J27&gt;=50, "40–60% Equities", IF(J27&gt;=35, "20–40% Equities", "0–20% Equities"))))</f>
        <v/>
      </c>
      <c r="M27" s="15">
        <f>STDEV.S('04_Pillar_Calculation'!C27:H27)</f>
        <v/>
      </c>
      <c r="N27" s="15">
        <f>MAX('04_Pillar_Calculation'!C27:H27) - MIN('04_Pillar_Calculation'!C27:H27)</f>
        <v/>
      </c>
      <c r="O27" s="16">
        <f>IF(M27&gt;=15, "HIGH", IF(M27&lt;=10, "LOW", "MEDIUM"))</f>
        <v/>
      </c>
      <c r="P27" s="16" t="inlineStr">
        <is>
          <t>REDUCE/SELL</t>
        </is>
      </c>
    </row>
    <row r="28">
      <c r="A28" s="12">
        <f>'02_Market_Inputs'!A28</f>
        <v/>
      </c>
      <c r="B28" s="12">
        <f>'02_Market_Inputs'!B28</f>
        <v/>
      </c>
      <c r="C28" s="27">
        <f>'02_Market_Inputs'!C28</f>
        <v/>
      </c>
      <c r="D28" s="30">
        <f>'04_Pillar_Calculation'!O28</f>
        <v/>
      </c>
      <c r="E28" s="12">
        <f>IF(D28&gt;=80, "BUY", IF(D28&gt;=65, "ACCUMULATE", IF(D28&gt;=50, "HOLD", IF(D28&gt;=35, "REDUCE", "SELL"))))</f>
        <v/>
      </c>
      <c r="F28" s="29">
        <f>ROW()-ROW($D$5)</f>
        <v/>
      </c>
      <c r="G28" s="11">
        <f>IF(F28&gt;='01_Model_Config'!$B$26, AVERAGE($D$5:D27), "N/A")</f>
        <v/>
      </c>
      <c r="H28" s="11">
        <f>IF(F28&gt;='01_Model_Config'!$B$26, STDEV.S($D$5:D27), "N/A")</f>
        <v/>
      </c>
      <c r="I28" s="28">
        <f>IF(F28&gt;='01_Model_Config'!$B$26, (D28-G28)/H28, "N/A")</f>
        <v/>
      </c>
      <c r="J28" s="30">
        <f>IF(F28&lt;'01_Model_Config'!$B$26, D28, MIN('01_Model_Config'!$B$28, MAX('01_Model_Config'!$B$27, '01_Model_Config'!$B$24 + '01_Model_Config'!$B$25 * I28)))</f>
        <v/>
      </c>
      <c r="K28" s="12">
        <f>IF(J28&gt;=80, "BUY", IF(J28&gt;=65, "ACCUMULATE", IF(J28&gt;=50, "HOLD", IF(J28&gt;=35, "REDUCE", "SELL"))))</f>
        <v/>
      </c>
      <c r="L28" s="12">
        <f>IF(J28&gt;=80, "85–100% Equities", IF(J28&gt;=65, "70–85% Equities", IF(J28&gt;=50, "40–60% Equities", IF(J28&gt;=35, "20–40% Equities", "0–20% Equities"))))</f>
        <v/>
      </c>
      <c r="M28" s="11">
        <f>STDEV.S('04_Pillar_Calculation'!C28:H28)</f>
        <v/>
      </c>
      <c r="N28" s="11">
        <f>MAX('04_Pillar_Calculation'!C28:H28) - MIN('04_Pillar_Calculation'!C28:H28)</f>
        <v/>
      </c>
      <c r="O28" s="12">
        <f>IF(M28&gt;=15, "HIGH", IF(M28&lt;=10, "LOW", "MEDIUM"))</f>
        <v/>
      </c>
      <c r="P28" s="12" t="inlineStr">
        <is>
          <t>REDUCE/SELL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29" customWidth="1" min="1" max="1"/>
    <col width="13" customWidth="1" min="2" max="2"/>
    <col width="19" customWidth="1" min="3" max="3"/>
    <col width="22" customWidth="1" min="4" max="4"/>
    <col width="14" customWidth="1" min="5" max="5"/>
    <col width="35" customWidth="1" min="6" max="6"/>
    <col width="23" customWidth="1" min="7" max="7"/>
    <col width="27" customWidth="1" min="8" max="8"/>
  </cols>
  <sheetData>
    <row r="1">
      <c r="A1" s="1" t="inlineStr">
        <is>
          <t>VN-INDEX QUANTITATIVE MODEL — MULTIPLE LINEAR REGRESSION (PREDICTIVE MLR)</t>
        </is>
      </c>
    </row>
    <row r="2">
      <c r="A2" s="2" t="inlineStr">
        <is>
          <t>Specification: R̄_(t+1..t+21) = α + β1*ΔIR + β2*ΔDXY + β3*NFF + β4*ZPE + β5*ΔMRG + β6*ΔUS10Y + β7*ΔUSDJPY + ε (Newey-West HAC)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Observations (N)</t>
        </is>
      </c>
      <c r="D4" s="8" t="inlineStr">
        <is>
          <t>R-squared (R²)</t>
        </is>
      </c>
      <c r="E4" s="8" t="inlineStr">
        <is>
          <t>Adjusted R²</t>
        </is>
      </c>
      <c r="F4" s="8" t="inlineStr">
        <is>
          <t>Predicted Return/Day (t+1..t+21)</t>
        </is>
      </c>
      <c r="G4" s="8" t="inlineStr">
        <is>
          <t>Quality Bonus (0-10)</t>
        </is>
      </c>
      <c r="H4" s="8" t="inlineStr">
        <is>
          <t>MLR Signal Score (0-100)</t>
        </is>
      </c>
    </row>
    <row r="5">
      <c r="A5" s="16">
        <f>'02_Market_Inputs'!A5</f>
        <v/>
      </c>
      <c r="B5" s="16">
        <f>'02_Market_Inputs'!B5</f>
        <v/>
      </c>
      <c r="C5" s="23" t="n">
        <v>750</v>
      </c>
      <c r="D5" s="22" t="n">
        <v>0.2244</v>
      </c>
      <c r="E5" s="22" t="n">
        <v>0.1994</v>
      </c>
      <c r="F5" s="31" t="n">
        <v>-0.0005</v>
      </c>
      <c r="G5" s="15">
        <f>MIN(10, E5 * 10)</f>
        <v/>
      </c>
      <c r="H5" s="15">
        <f>MIN(100, MAX(0, 50 + F5 * '01_Model_Config'!$B$32))</f>
        <v/>
      </c>
    </row>
    <row r="6">
      <c r="A6" s="12">
        <f>'02_Market_Inputs'!A6</f>
        <v/>
      </c>
      <c r="B6" s="12">
        <f>'02_Market_Inputs'!B6</f>
        <v/>
      </c>
      <c r="C6" s="24" t="n">
        <v>810</v>
      </c>
      <c r="D6" s="28" t="n">
        <v>0.2183</v>
      </c>
      <c r="E6" s="28" t="n">
        <v>0.1933</v>
      </c>
      <c r="F6" s="32" t="n">
        <v>0.0036</v>
      </c>
      <c r="G6" s="11">
        <f>MIN(10, E6 * 10)</f>
        <v/>
      </c>
      <c r="H6" s="11">
        <f>MIN(100, MAX(0, 50 + F6 * '01_Model_Config'!$B$32))</f>
        <v/>
      </c>
    </row>
    <row r="7">
      <c r="A7" s="16">
        <f>'02_Market_Inputs'!A7</f>
        <v/>
      </c>
      <c r="B7" s="16">
        <f>'02_Market_Inputs'!B7</f>
        <v/>
      </c>
      <c r="C7" s="23" t="n">
        <v>870</v>
      </c>
      <c r="D7" s="22" t="n">
        <v>0.2323</v>
      </c>
      <c r="E7" s="22" t="n">
        <v>0.2073</v>
      </c>
      <c r="F7" s="31" t="n">
        <v>0.0061</v>
      </c>
      <c r="G7" s="15">
        <f>MIN(10, E7 * 10)</f>
        <v/>
      </c>
      <c r="H7" s="15">
        <f>MIN(100, MAX(0, 50 + F7 * '01_Model_Config'!$B$32))</f>
        <v/>
      </c>
    </row>
    <row r="8">
      <c r="A8" s="12">
        <f>'02_Market_Inputs'!A8</f>
        <v/>
      </c>
      <c r="B8" s="12">
        <f>'02_Market_Inputs'!B8</f>
        <v/>
      </c>
      <c r="C8" s="24" t="n">
        <v>930</v>
      </c>
      <c r="D8" s="28" t="n">
        <v>0.231</v>
      </c>
      <c r="E8" s="28" t="n">
        <v>0.206</v>
      </c>
      <c r="F8" s="32" t="n">
        <v>0.0009</v>
      </c>
      <c r="G8" s="11">
        <f>MIN(10, E8 * 10)</f>
        <v/>
      </c>
      <c r="H8" s="11">
        <f>MIN(100, MAX(0, 50 + F8 * '01_Model_Config'!$B$32))</f>
        <v/>
      </c>
    </row>
    <row r="9">
      <c r="A9" s="16">
        <f>'02_Market_Inputs'!A9</f>
        <v/>
      </c>
      <c r="B9" s="16">
        <f>'02_Market_Inputs'!B9</f>
        <v/>
      </c>
      <c r="C9" s="23" t="n">
        <v>990</v>
      </c>
      <c r="D9" s="22" t="n">
        <v>0.2196</v>
      </c>
      <c r="E9" s="22" t="n">
        <v>0.1946</v>
      </c>
      <c r="F9" s="31" t="n">
        <v>0.0001</v>
      </c>
      <c r="G9" s="15">
        <f>MIN(10, E9 * 10)</f>
        <v/>
      </c>
      <c r="H9" s="15">
        <f>MIN(100, MAX(0, 50 + F9 * '01_Model_Config'!$B$32))</f>
        <v/>
      </c>
    </row>
    <row r="10">
      <c r="A10" s="12">
        <f>'02_Market_Inputs'!A10</f>
        <v/>
      </c>
      <c r="B10" s="12">
        <f>'02_Market_Inputs'!B10</f>
        <v/>
      </c>
      <c r="C10" s="24" t="n">
        <v>1050</v>
      </c>
      <c r="D10" s="28" t="n">
        <v>0.2305</v>
      </c>
      <c r="E10" s="28" t="n">
        <v>0.2055</v>
      </c>
      <c r="F10" s="32" t="n">
        <v>-0.0005</v>
      </c>
      <c r="G10" s="11">
        <f>MIN(10, E10 * 10)</f>
        <v/>
      </c>
      <c r="H10" s="11">
        <f>MIN(100, MAX(0, 50 + F10 * '01_Model_Config'!$B$32))</f>
        <v/>
      </c>
    </row>
    <row r="11">
      <c r="A11" s="16">
        <f>'02_Market_Inputs'!A11</f>
        <v/>
      </c>
      <c r="B11" s="16">
        <f>'02_Market_Inputs'!B11</f>
        <v/>
      </c>
      <c r="C11" s="23" t="n">
        <v>1110</v>
      </c>
      <c r="D11" s="22" t="n">
        <v>0.1905</v>
      </c>
      <c r="E11" s="22" t="n">
        <v>0.1655</v>
      </c>
      <c r="F11" s="31" t="n">
        <v>0.0032</v>
      </c>
      <c r="G11" s="15">
        <f>MIN(10, E11 * 10)</f>
        <v/>
      </c>
      <c r="H11" s="15">
        <f>MIN(100, MAX(0, 50 + F11 * '01_Model_Config'!$B$32))</f>
        <v/>
      </c>
    </row>
    <row r="12">
      <c r="A12" s="12">
        <f>'02_Market_Inputs'!A12</f>
        <v/>
      </c>
      <c r="B12" s="12">
        <f>'02_Market_Inputs'!B12</f>
        <v/>
      </c>
      <c r="C12" s="24" t="n">
        <v>1170</v>
      </c>
      <c r="D12" s="28" t="n">
        <v>0.1832</v>
      </c>
      <c r="E12" s="28" t="n">
        <v>0.1582</v>
      </c>
      <c r="F12" s="32" t="n">
        <v>-0.0002</v>
      </c>
      <c r="G12" s="11">
        <f>MIN(10, E12 * 10)</f>
        <v/>
      </c>
      <c r="H12" s="11">
        <f>MIN(100, MAX(0, 50 + F12 * '01_Model_Config'!$B$32))</f>
        <v/>
      </c>
    </row>
    <row r="13">
      <c r="A13" s="16">
        <f>'02_Market_Inputs'!A13</f>
        <v/>
      </c>
      <c r="B13" s="16">
        <f>'02_Market_Inputs'!B13</f>
        <v/>
      </c>
      <c r="C13" s="23" t="n">
        <v>1230</v>
      </c>
      <c r="D13" s="22" t="n">
        <v>0.1778</v>
      </c>
      <c r="E13" s="22" t="n">
        <v>0.1528</v>
      </c>
      <c r="F13" s="31" t="n">
        <v>0.0004</v>
      </c>
      <c r="G13" s="15">
        <f>MIN(10, E13 * 10)</f>
        <v/>
      </c>
      <c r="H13" s="15">
        <f>MIN(100, MAX(0, 50 + F13 * '01_Model_Config'!$B$32))</f>
        <v/>
      </c>
    </row>
    <row r="14">
      <c r="A14" s="12">
        <f>'02_Market_Inputs'!A14</f>
        <v/>
      </c>
      <c r="B14" s="12">
        <f>'02_Market_Inputs'!B14</f>
        <v/>
      </c>
      <c r="C14" s="24" t="n">
        <v>1290</v>
      </c>
      <c r="D14" s="28" t="n">
        <v>0.1793</v>
      </c>
      <c r="E14" s="28" t="n">
        <v>0.1543</v>
      </c>
      <c r="F14" s="32" t="n">
        <v>0.0002</v>
      </c>
      <c r="G14" s="11">
        <f>MIN(10, E14 * 10)</f>
        <v/>
      </c>
      <c r="H14" s="11">
        <f>MIN(100, MAX(0, 50 + F14 * '01_Model_Config'!$B$32))</f>
        <v/>
      </c>
    </row>
    <row r="15">
      <c r="A15" s="16">
        <f>'02_Market_Inputs'!A15</f>
        <v/>
      </c>
      <c r="B15" s="16">
        <f>'02_Market_Inputs'!B15</f>
        <v/>
      </c>
      <c r="C15" s="23" t="n">
        <v>1350</v>
      </c>
      <c r="D15" s="22" t="n">
        <v>0.1824</v>
      </c>
      <c r="E15" s="22" t="n">
        <v>0.1574</v>
      </c>
      <c r="F15" s="31" t="n">
        <v>0.0005</v>
      </c>
      <c r="G15" s="15">
        <f>MIN(10, E15 * 10)</f>
        <v/>
      </c>
      <c r="H15" s="15">
        <f>MIN(100, MAX(0, 50 + F15 * '01_Model_Config'!$B$32))</f>
        <v/>
      </c>
    </row>
    <row r="16">
      <c r="A16" s="12">
        <f>'02_Market_Inputs'!A16</f>
        <v/>
      </c>
      <c r="B16" s="12">
        <f>'02_Market_Inputs'!B16</f>
        <v/>
      </c>
      <c r="C16" s="24" t="n">
        <v>1410</v>
      </c>
      <c r="D16" s="28" t="n">
        <v>0.1555</v>
      </c>
      <c r="E16" s="28" t="n">
        <v>0.1305</v>
      </c>
      <c r="F16" s="32" t="n">
        <v>0.0002</v>
      </c>
      <c r="G16" s="11">
        <f>MIN(10, E16 * 10)</f>
        <v/>
      </c>
      <c r="H16" s="11">
        <f>MIN(100, MAX(0, 50 + F16 * '01_Model_Config'!$B$32))</f>
        <v/>
      </c>
    </row>
    <row r="17">
      <c r="A17" s="16">
        <f>'02_Market_Inputs'!A17</f>
        <v/>
      </c>
      <c r="B17" s="16">
        <f>'02_Market_Inputs'!B17</f>
        <v/>
      </c>
      <c r="C17" s="23" t="n">
        <v>1470</v>
      </c>
      <c r="D17" s="22" t="n">
        <v>0.1795</v>
      </c>
      <c r="E17" s="22" t="n">
        <v>0.1545</v>
      </c>
      <c r="F17" s="31" t="n">
        <v>-0.0005999999999999999</v>
      </c>
      <c r="G17" s="15">
        <f>MIN(10, E17 * 10)</f>
        <v/>
      </c>
      <c r="H17" s="15">
        <f>MIN(100, MAX(0, 50 + F17 * '01_Model_Config'!$B$32))</f>
        <v/>
      </c>
    </row>
    <row r="18">
      <c r="A18" s="12">
        <f>'02_Market_Inputs'!A18</f>
        <v/>
      </c>
      <c r="B18" s="12">
        <f>'02_Market_Inputs'!B18</f>
        <v/>
      </c>
      <c r="C18" s="24" t="n">
        <v>1530</v>
      </c>
      <c r="D18" s="28" t="n">
        <v>0.196</v>
      </c>
      <c r="E18" s="28" t="n">
        <v>0.171</v>
      </c>
      <c r="F18" s="32" t="n">
        <v>-0.0001</v>
      </c>
      <c r="G18" s="11">
        <f>MIN(10, E18 * 10)</f>
        <v/>
      </c>
      <c r="H18" s="11">
        <f>MIN(100, MAX(0, 50 + F18 * '01_Model_Config'!$B$32))</f>
        <v/>
      </c>
    </row>
    <row r="19">
      <c r="A19" s="16">
        <f>'02_Market_Inputs'!A19</f>
        <v/>
      </c>
      <c r="B19" s="16">
        <f>'02_Market_Inputs'!B19</f>
        <v/>
      </c>
      <c r="C19" s="23" t="n">
        <v>1590</v>
      </c>
      <c r="D19" s="22" t="n">
        <v>0.1816</v>
      </c>
      <c r="E19" s="22" t="n">
        <v>0.1566</v>
      </c>
      <c r="F19" s="31" t="n">
        <v>-0.0012</v>
      </c>
      <c r="G19" s="15">
        <f>MIN(10, E19 * 10)</f>
        <v/>
      </c>
      <c r="H19" s="15">
        <f>MIN(100, MAX(0, 50 + F19 * '01_Model_Config'!$B$32))</f>
        <v/>
      </c>
    </row>
    <row r="20">
      <c r="A20" s="12">
        <f>'02_Market_Inputs'!A20</f>
        <v/>
      </c>
      <c r="B20" s="12">
        <f>'02_Market_Inputs'!B20</f>
        <v/>
      </c>
      <c r="C20" s="24" t="n">
        <v>1650</v>
      </c>
      <c r="D20" s="28" t="n">
        <v>0.176</v>
      </c>
      <c r="E20" s="28" t="n">
        <v>0.151</v>
      </c>
      <c r="F20" s="32" t="n">
        <v>-0.0005999999999999999</v>
      </c>
      <c r="G20" s="11">
        <f>MIN(10, E20 * 10)</f>
        <v/>
      </c>
      <c r="H20" s="11">
        <f>MIN(100, MAX(0, 50 + F20 * '01_Model_Config'!$B$32))</f>
        <v/>
      </c>
    </row>
    <row r="21">
      <c r="A21" s="16">
        <f>'02_Market_Inputs'!A21</f>
        <v/>
      </c>
      <c r="B21" s="16">
        <f>'02_Market_Inputs'!B21</f>
        <v/>
      </c>
      <c r="C21" s="23" t="n">
        <v>1710</v>
      </c>
      <c r="D21" s="22" t="n">
        <v>0.1549</v>
      </c>
      <c r="E21" s="22" t="n">
        <v>0.1299</v>
      </c>
      <c r="F21" s="31" t="n">
        <v>-0.0005999999999999999</v>
      </c>
      <c r="G21" s="15">
        <f>MIN(10, E21 * 10)</f>
        <v/>
      </c>
      <c r="H21" s="15">
        <f>MIN(100, MAX(0, 50 + F21 * '01_Model_Config'!$B$32))</f>
        <v/>
      </c>
    </row>
    <row r="22">
      <c r="A22" s="12">
        <f>'02_Market_Inputs'!A22</f>
        <v/>
      </c>
      <c r="B22" s="12">
        <f>'02_Market_Inputs'!B22</f>
        <v/>
      </c>
      <c r="C22" s="24" t="n">
        <v>1770</v>
      </c>
      <c r="D22" s="28" t="n">
        <v>0.1498</v>
      </c>
      <c r="E22" s="28" t="n">
        <v>0.1248</v>
      </c>
      <c r="F22" s="32" t="n">
        <v>-0.0004</v>
      </c>
      <c r="G22" s="11">
        <f>MIN(10, E22 * 10)</f>
        <v/>
      </c>
      <c r="H22" s="11">
        <f>MIN(100, MAX(0, 50 + F22 * '01_Model_Config'!$B$32))</f>
        <v/>
      </c>
    </row>
    <row r="23">
      <c r="A23" s="16">
        <f>'02_Market_Inputs'!A23</f>
        <v/>
      </c>
      <c r="B23" s="16">
        <f>'02_Market_Inputs'!B23</f>
        <v/>
      </c>
      <c r="C23" s="23" t="n">
        <v>1830</v>
      </c>
      <c r="D23" s="22" t="n">
        <v>0.151</v>
      </c>
      <c r="E23" s="22" t="n">
        <v>0.126</v>
      </c>
      <c r="F23" s="31" t="n">
        <v>0.0005</v>
      </c>
      <c r="G23" s="15">
        <f>MIN(10, E23 * 10)</f>
        <v/>
      </c>
      <c r="H23" s="15">
        <f>MIN(100, MAX(0, 50 + F23 * '01_Model_Config'!$B$32))</f>
        <v/>
      </c>
    </row>
    <row r="24">
      <c r="A24" s="12">
        <f>'02_Market_Inputs'!A24</f>
        <v/>
      </c>
      <c r="B24" s="12">
        <f>'02_Market_Inputs'!B24</f>
        <v/>
      </c>
      <c r="C24" s="24" t="n">
        <v>1890</v>
      </c>
      <c r="D24" s="28" t="n">
        <v>0.1466</v>
      </c>
      <c r="E24" s="28" t="n">
        <v>0.1216</v>
      </c>
      <c r="F24" s="32" t="n">
        <v>0.001</v>
      </c>
      <c r="G24" s="11">
        <f>MIN(10, E24 * 10)</f>
        <v/>
      </c>
      <c r="H24" s="11">
        <f>MIN(100, MAX(0, 50 + F24 * '01_Model_Config'!$B$32))</f>
        <v/>
      </c>
    </row>
    <row r="25">
      <c r="A25" s="16">
        <f>'02_Market_Inputs'!A25</f>
        <v/>
      </c>
      <c r="B25" s="16">
        <f>'02_Market_Inputs'!B25</f>
        <v/>
      </c>
      <c r="C25" s="23" t="n">
        <v>1950</v>
      </c>
      <c r="D25" s="22" t="n">
        <v>0.1459</v>
      </c>
      <c r="E25" s="22" t="n">
        <v>0.1209</v>
      </c>
      <c r="F25" s="31" t="n">
        <v>-0.0002</v>
      </c>
      <c r="G25" s="15">
        <f>MIN(10, E25 * 10)</f>
        <v/>
      </c>
      <c r="H25" s="15">
        <f>MIN(100, MAX(0, 50 + F25 * '01_Model_Config'!$B$32))</f>
        <v/>
      </c>
    </row>
    <row r="26">
      <c r="A26" s="12">
        <f>'02_Market_Inputs'!A26</f>
        <v/>
      </c>
      <c r="B26" s="12">
        <f>'02_Market_Inputs'!B26</f>
        <v/>
      </c>
      <c r="C26" s="24" t="n">
        <v>2010</v>
      </c>
      <c r="D26" s="28" t="n">
        <v>0.1391</v>
      </c>
      <c r="E26" s="28" t="n">
        <v>0.1141</v>
      </c>
      <c r="F26" s="32" t="n">
        <v>0.0007</v>
      </c>
      <c r="G26" s="11">
        <f>MIN(10, E26 * 10)</f>
        <v/>
      </c>
      <c r="H26" s="11">
        <f>MIN(100, MAX(0, 50 + F26 * '01_Model_Config'!$B$32))</f>
        <v/>
      </c>
    </row>
    <row r="27">
      <c r="A27" s="16">
        <f>'02_Market_Inputs'!A27</f>
        <v/>
      </c>
      <c r="B27" s="16">
        <f>'02_Market_Inputs'!B27</f>
        <v/>
      </c>
      <c r="C27" s="23" t="n">
        <v>2070</v>
      </c>
      <c r="D27" s="22" t="n">
        <v>0.1383</v>
      </c>
      <c r="E27" s="22" t="n">
        <v>0.1133</v>
      </c>
      <c r="F27" s="31" t="n">
        <v>-0.0004</v>
      </c>
      <c r="G27" s="15">
        <f>MIN(10, E27 * 10)</f>
        <v/>
      </c>
      <c r="H27" s="15">
        <f>MIN(100, MAX(0, 50 + F27 * '01_Model_Config'!$B$32))</f>
        <v/>
      </c>
    </row>
    <row r="28">
      <c r="A28" s="12">
        <f>'02_Market_Inputs'!A28</f>
        <v/>
      </c>
      <c r="B28" s="12">
        <f>'02_Market_Inputs'!B28</f>
        <v/>
      </c>
      <c r="C28" s="24" t="n">
        <v>2130</v>
      </c>
      <c r="D28" s="28" t="n">
        <v>0.1342</v>
      </c>
      <c r="E28" s="28" t="n">
        <v>0.1092</v>
      </c>
      <c r="F28" s="32" t="n">
        <v>-0.0005999999999999999</v>
      </c>
      <c r="G28" s="11">
        <f>MIN(10, E28 * 10)</f>
        <v/>
      </c>
      <c r="H28" s="11">
        <f>MIN(100, MAX(0, 50 + F28 * '01_Model_Config'!$B$32))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13" customWidth="1" min="2" max="2"/>
    <col width="24" customWidth="1" min="3" max="3"/>
    <col width="25" customWidth="1" min="4" max="4"/>
    <col width="26" customWidth="1" min="5" max="5"/>
    <col width="25" customWidth="1" min="6" max="6"/>
    <col width="24" customWidth="1" min="7" max="7"/>
    <col width="28" customWidth="1" min="8" max="8"/>
    <col width="24" customWidth="1" min="9" max="9"/>
    <col width="26" customWidth="1" min="10" max="10"/>
    <col width="27" customWidth="1" min="11" max="11"/>
  </cols>
  <sheetData>
    <row r="1">
      <c r="A1" s="1" t="inlineStr">
        <is>
          <t>VN-INDEX QUANTITATIVE MODEL — VECTOR AUTOREGRESSION (VAR) &amp; GRANGER CAUSALITY</t>
        </is>
      </c>
    </row>
    <row r="2">
      <c r="A2" s="2" t="inlineStr">
        <is>
          <t>VAR(p) Multivariate System: Granger Causality Tests (p &lt; 0.05) &amp; T+5 Multi-step Return Forecast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Optimal Lag (AIC/BIC)</t>
        </is>
      </c>
      <c r="D4" s="8" t="inlineStr">
        <is>
          <t>Granger: ΔDXY (p&lt;0.05)</t>
        </is>
      </c>
      <c r="E4" s="8" t="inlineStr">
        <is>
          <t>Granger: ΔVN1Y (p&lt;0.05)</t>
        </is>
      </c>
      <c r="F4" s="8" t="inlineStr">
        <is>
          <t>Granger: PE-Z (p&lt;0.05)</t>
        </is>
      </c>
      <c r="G4" s="8" t="inlineStr">
        <is>
          <t>Granger: NFF (p&lt;0.05)</t>
        </is>
      </c>
      <c r="H4" s="8" t="inlineStr">
        <is>
          <t>Granger: ΔUSDJPY (p&lt;0.05)</t>
        </is>
      </c>
      <c r="I4" s="8" t="inlineStr">
        <is>
          <t>Granger Leaders Count</t>
        </is>
      </c>
      <c r="J4" s="8" t="inlineStr">
        <is>
          <t>VAR T+5 Return Forecast</t>
        </is>
      </c>
      <c r="K4" s="8" t="inlineStr">
        <is>
          <t>VAR Signal Score (0-100)</t>
        </is>
      </c>
    </row>
    <row r="5">
      <c r="A5" s="16">
        <f>'02_Market_Inputs'!A5</f>
        <v/>
      </c>
      <c r="B5" s="16">
        <f>'02_Market_Inputs'!B5</f>
        <v/>
      </c>
      <c r="C5" s="26" t="n">
        <v>2</v>
      </c>
      <c r="D5" s="16" t="inlineStr">
        <is>
          <t>NO</t>
        </is>
      </c>
      <c r="E5" s="16" t="inlineStr">
        <is>
          <t>NO</t>
        </is>
      </c>
      <c r="F5" s="16" t="inlineStr">
        <is>
          <t>NO</t>
        </is>
      </c>
      <c r="G5" s="16" t="inlineStr">
        <is>
          <t>NO</t>
        </is>
      </c>
      <c r="H5" s="16" t="inlineStr">
        <is>
          <t>NO</t>
        </is>
      </c>
      <c r="I5" s="26">
        <f>COUNTIF(D5:H5, "YES")</f>
        <v/>
      </c>
      <c r="J5" s="31" t="n">
        <v>0.0016</v>
      </c>
      <c r="K5" s="15">
        <f>MIN(100, MAX(0, 50 + J5 * '01_Model_Config'!$B$33))</f>
        <v/>
      </c>
    </row>
    <row r="6">
      <c r="A6" s="12">
        <f>'02_Market_Inputs'!A6</f>
        <v/>
      </c>
      <c r="B6" s="12">
        <f>'02_Market_Inputs'!B6</f>
        <v/>
      </c>
      <c r="C6" s="29" t="n">
        <v>2</v>
      </c>
      <c r="D6" s="12" t="inlineStr">
        <is>
          <t>NO</t>
        </is>
      </c>
      <c r="E6" s="12" t="inlineStr">
        <is>
          <t>NO</t>
        </is>
      </c>
      <c r="F6" s="12" t="inlineStr">
        <is>
          <t>NO</t>
        </is>
      </c>
      <c r="G6" s="12" t="inlineStr">
        <is>
          <t>NO</t>
        </is>
      </c>
      <c r="H6" s="12" t="inlineStr">
        <is>
          <t>NO</t>
        </is>
      </c>
      <c r="I6" s="29">
        <f>COUNTIF(D6:H6, "YES")</f>
        <v/>
      </c>
      <c r="J6" s="32" t="n">
        <v>-0.0007</v>
      </c>
      <c r="K6" s="11">
        <f>MIN(100, MAX(0, 50 + J6 * '01_Model_Config'!$B$33))</f>
        <v/>
      </c>
    </row>
    <row r="7">
      <c r="A7" s="16">
        <f>'02_Market_Inputs'!A7</f>
        <v/>
      </c>
      <c r="B7" s="16">
        <f>'02_Market_Inputs'!B7</f>
        <v/>
      </c>
      <c r="C7" s="26" t="n">
        <v>2</v>
      </c>
      <c r="D7" s="16" t="inlineStr">
        <is>
          <t>NO</t>
        </is>
      </c>
      <c r="E7" s="16" t="inlineStr">
        <is>
          <t>NO</t>
        </is>
      </c>
      <c r="F7" s="16" t="inlineStr">
        <is>
          <t>NO</t>
        </is>
      </c>
      <c r="G7" s="16" t="inlineStr">
        <is>
          <t>NO</t>
        </is>
      </c>
      <c r="H7" s="16" t="inlineStr">
        <is>
          <t>NO</t>
        </is>
      </c>
      <c r="I7" s="26">
        <f>COUNTIF(D7:H7, "YES")</f>
        <v/>
      </c>
      <c r="J7" s="31" t="n">
        <v>0.0005</v>
      </c>
      <c r="K7" s="15">
        <f>MIN(100, MAX(0, 50 + J7 * '01_Model_Config'!$B$33))</f>
        <v/>
      </c>
    </row>
    <row r="8">
      <c r="A8" s="12">
        <f>'02_Market_Inputs'!A8</f>
        <v/>
      </c>
      <c r="B8" s="12">
        <f>'02_Market_Inputs'!B8</f>
        <v/>
      </c>
      <c r="C8" s="29" t="n">
        <v>2</v>
      </c>
      <c r="D8" s="12" t="inlineStr">
        <is>
          <t>NO</t>
        </is>
      </c>
      <c r="E8" s="12" t="inlineStr">
        <is>
          <t>NO</t>
        </is>
      </c>
      <c r="F8" s="12" t="inlineStr">
        <is>
          <t>NO</t>
        </is>
      </c>
      <c r="G8" s="12" t="inlineStr">
        <is>
          <t>NO</t>
        </is>
      </c>
      <c r="H8" s="12" t="inlineStr">
        <is>
          <t>NO</t>
        </is>
      </c>
      <c r="I8" s="29">
        <f>COUNTIF(D8:H8, "YES")</f>
        <v/>
      </c>
      <c r="J8" s="32" t="n">
        <v>-0.0004</v>
      </c>
      <c r="K8" s="11">
        <f>MIN(100, MAX(0, 50 + J8 * '01_Model_Config'!$B$33))</f>
        <v/>
      </c>
    </row>
    <row r="9">
      <c r="A9" s="16">
        <f>'02_Market_Inputs'!A9</f>
        <v/>
      </c>
      <c r="B9" s="16">
        <f>'02_Market_Inputs'!B9</f>
        <v/>
      </c>
      <c r="C9" s="26" t="n">
        <v>2</v>
      </c>
      <c r="D9" s="16" t="inlineStr">
        <is>
          <t>NO</t>
        </is>
      </c>
      <c r="E9" s="16" t="inlineStr">
        <is>
          <t>NO</t>
        </is>
      </c>
      <c r="F9" s="16" t="inlineStr">
        <is>
          <t>NO</t>
        </is>
      </c>
      <c r="G9" s="16" t="inlineStr">
        <is>
          <t>NO</t>
        </is>
      </c>
      <c r="H9" s="16" t="inlineStr">
        <is>
          <t>NO</t>
        </is>
      </c>
      <c r="I9" s="26">
        <f>COUNTIF(D9:H9, "YES")</f>
        <v/>
      </c>
      <c r="J9" s="31" t="n">
        <v>0.001</v>
      </c>
      <c r="K9" s="15">
        <f>MIN(100, MAX(0, 50 + J9 * '01_Model_Config'!$B$33))</f>
        <v/>
      </c>
    </row>
    <row r="10">
      <c r="A10" s="12">
        <f>'02_Market_Inputs'!A10</f>
        <v/>
      </c>
      <c r="B10" s="12">
        <f>'02_Market_Inputs'!B10</f>
        <v/>
      </c>
      <c r="C10" s="29" t="n">
        <v>2</v>
      </c>
      <c r="D10" s="12" t="inlineStr">
        <is>
          <t>NO</t>
        </is>
      </c>
      <c r="E10" s="12" t="inlineStr">
        <is>
          <t>NO</t>
        </is>
      </c>
      <c r="F10" s="12" t="inlineStr">
        <is>
          <t>NO</t>
        </is>
      </c>
      <c r="G10" s="12" t="inlineStr">
        <is>
          <t>NO</t>
        </is>
      </c>
      <c r="H10" s="12" t="inlineStr">
        <is>
          <t>NO</t>
        </is>
      </c>
      <c r="I10" s="29">
        <f>COUNTIF(D10:H10, "YES")</f>
        <v/>
      </c>
      <c r="J10" s="32" t="n">
        <v>0.0001</v>
      </c>
      <c r="K10" s="11">
        <f>MIN(100, MAX(0, 50 + J10 * '01_Model_Config'!$B$33))</f>
        <v/>
      </c>
    </row>
    <row r="11">
      <c r="A11" s="16">
        <f>'02_Market_Inputs'!A11</f>
        <v/>
      </c>
      <c r="B11" s="16">
        <f>'02_Market_Inputs'!B11</f>
        <v/>
      </c>
      <c r="C11" s="26" t="n">
        <v>2</v>
      </c>
      <c r="D11" s="16" t="inlineStr">
        <is>
          <t>YES</t>
        </is>
      </c>
      <c r="E11" s="16" t="inlineStr">
        <is>
          <t>NO</t>
        </is>
      </c>
      <c r="F11" s="16" t="inlineStr">
        <is>
          <t>NO</t>
        </is>
      </c>
      <c r="G11" s="16" t="inlineStr">
        <is>
          <t>NO</t>
        </is>
      </c>
      <c r="H11" s="16" t="inlineStr">
        <is>
          <t>NO</t>
        </is>
      </c>
      <c r="I11" s="26">
        <f>COUNTIF(D11:H11, "YES")</f>
        <v/>
      </c>
      <c r="J11" s="31" t="n">
        <v>-0.0005999999999999999</v>
      </c>
      <c r="K11" s="15">
        <f>MIN(100, MAX(0, 50 + J11 * '01_Model_Config'!$B$33))</f>
        <v/>
      </c>
    </row>
    <row r="12">
      <c r="A12" s="12">
        <f>'02_Market_Inputs'!A12</f>
        <v/>
      </c>
      <c r="B12" s="12">
        <f>'02_Market_Inputs'!B12</f>
        <v/>
      </c>
      <c r="C12" s="29" t="n">
        <v>2</v>
      </c>
      <c r="D12" s="12" t="inlineStr">
        <is>
          <t>YES</t>
        </is>
      </c>
      <c r="E12" s="12" t="inlineStr">
        <is>
          <t>NO</t>
        </is>
      </c>
      <c r="F12" s="12" t="inlineStr">
        <is>
          <t>NO</t>
        </is>
      </c>
      <c r="G12" s="12" t="inlineStr">
        <is>
          <t>NO</t>
        </is>
      </c>
      <c r="H12" s="12" t="inlineStr">
        <is>
          <t>NO</t>
        </is>
      </c>
      <c r="I12" s="29">
        <f>COUNTIF(D12:H12, "YES")</f>
        <v/>
      </c>
      <c r="J12" s="32" t="n">
        <v>0.0004</v>
      </c>
      <c r="K12" s="11">
        <f>MIN(100, MAX(0, 50 + J12 * '01_Model_Config'!$B$33))</f>
        <v/>
      </c>
    </row>
    <row r="13">
      <c r="A13" s="16">
        <f>'02_Market_Inputs'!A13</f>
        <v/>
      </c>
      <c r="B13" s="16">
        <f>'02_Market_Inputs'!B13</f>
        <v/>
      </c>
      <c r="C13" s="26" t="n">
        <v>2</v>
      </c>
      <c r="D13" s="16" t="inlineStr">
        <is>
          <t>YES</t>
        </is>
      </c>
      <c r="E13" s="16" t="inlineStr">
        <is>
          <t>NO</t>
        </is>
      </c>
      <c r="F13" s="16" t="inlineStr">
        <is>
          <t>NO</t>
        </is>
      </c>
      <c r="G13" s="16" t="inlineStr">
        <is>
          <t>NO</t>
        </is>
      </c>
      <c r="H13" s="16" t="inlineStr">
        <is>
          <t>NO</t>
        </is>
      </c>
      <c r="I13" s="26">
        <f>COUNTIF(D13:H13, "YES")</f>
        <v/>
      </c>
      <c r="J13" s="31" t="n">
        <v>0.0002</v>
      </c>
      <c r="K13" s="15">
        <f>MIN(100, MAX(0, 50 + J13 * '01_Model_Config'!$B$33))</f>
        <v/>
      </c>
    </row>
    <row r="14">
      <c r="A14" s="12">
        <f>'02_Market_Inputs'!A14</f>
        <v/>
      </c>
      <c r="B14" s="12">
        <f>'02_Market_Inputs'!B14</f>
        <v/>
      </c>
      <c r="C14" s="29" t="n">
        <v>2</v>
      </c>
      <c r="D14" s="12" t="inlineStr">
        <is>
          <t>YES</t>
        </is>
      </c>
      <c r="E14" s="12" t="inlineStr">
        <is>
          <t>NO</t>
        </is>
      </c>
      <c r="F14" s="12" t="inlineStr">
        <is>
          <t>NO</t>
        </is>
      </c>
      <c r="G14" s="12" t="inlineStr">
        <is>
          <t>NO</t>
        </is>
      </c>
      <c r="H14" s="12" t="inlineStr">
        <is>
          <t>NO</t>
        </is>
      </c>
      <c r="I14" s="29">
        <f>COUNTIF(D14:H14, "YES")</f>
        <v/>
      </c>
      <c r="J14" s="32" t="n">
        <v>-0.0002</v>
      </c>
      <c r="K14" s="11">
        <f>MIN(100, MAX(0, 50 + J14 * '01_Model_Config'!$B$33))</f>
        <v/>
      </c>
    </row>
    <row r="15">
      <c r="A15" s="16">
        <f>'02_Market_Inputs'!A15</f>
        <v/>
      </c>
      <c r="B15" s="16">
        <f>'02_Market_Inputs'!B15</f>
        <v/>
      </c>
      <c r="C15" s="26" t="n">
        <v>2</v>
      </c>
      <c r="D15" s="16" t="inlineStr">
        <is>
          <t>YES</t>
        </is>
      </c>
      <c r="E15" s="16" t="inlineStr">
        <is>
          <t>NO</t>
        </is>
      </c>
      <c r="F15" s="16" t="inlineStr">
        <is>
          <t>NO</t>
        </is>
      </c>
      <c r="G15" s="16" t="inlineStr">
        <is>
          <t>NO</t>
        </is>
      </c>
      <c r="H15" s="16" t="inlineStr">
        <is>
          <t>NO</t>
        </is>
      </c>
      <c r="I15" s="26">
        <f>COUNTIF(D15:H15, "YES")</f>
        <v/>
      </c>
      <c r="J15" s="31" t="n">
        <v>0.0003</v>
      </c>
      <c r="K15" s="15">
        <f>MIN(100, MAX(0, 50 + J15 * '01_Model_Config'!$B$33))</f>
        <v/>
      </c>
    </row>
    <row r="16">
      <c r="A16" s="12">
        <f>'02_Market_Inputs'!A16</f>
        <v/>
      </c>
      <c r="B16" s="12">
        <f>'02_Market_Inputs'!B16</f>
        <v/>
      </c>
      <c r="C16" s="29" t="n">
        <v>2</v>
      </c>
      <c r="D16" s="12" t="inlineStr">
        <is>
          <t>YES</t>
        </is>
      </c>
      <c r="E16" s="12" t="inlineStr">
        <is>
          <t>NO</t>
        </is>
      </c>
      <c r="F16" s="12" t="inlineStr">
        <is>
          <t>NO</t>
        </is>
      </c>
      <c r="G16" s="12" t="inlineStr">
        <is>
          <t>NO</t>
        </is>
      </c>
      <c r="H16" s="12" t="inlineStr">
        <is>
          <t>NO</t>
        </is>
      </c>
      <c r="I16" s="29">
        <f>COUNTIF(D16:H16, "YES")</f>
        <v/>
      </c>
      <c r="J16" s="32" t="n">
        <v>0.0002</v>
      </c>
      <c r="K16" s="11">
        <f>MIN(100, MAX(0, 50 + J16 * '01_Model_Config'!$B$33))</f>
        <v/>
      </c>
    </row>
    <row r="17">
      <c r="A17" s="16">
        <f>'02_Market_Inputs'!A17</f>
        <v/>
      </c>
      <c r="B17" s="16">
        <f>'02_Market_Inputs'!B17</f>
        <v/>
      </c>
      <c r="C17" s="26" t="n">
        <v>2</v>
      </c>
      <c r="D17" s="16" t="inlineStr">
        <is>
          <t>YES</t>
        </is>
      </c>
      <c r="E17" s="16" t="inlineStr">
        <is>
          <t>NO</t>
        </is>
      </c>
      <c r="F17" s="16" t="inlineStr">
        <is>
          <t>NO</t>
        </is>
      </c>
      <c r="G17" s="16" t="inlineStr">
        <is>
          <t>NO</t>
        </is>
      </c>
      <c r="H17" s="16" t="inlineStr">
        <is>
          <t>NO</t>
        </is>
      </c>
      <c r="I17" s="26">
        <f>COUNTIF(D17:H17, "YES")</f>
        <v/>
      </c>
      <c r="J17" s="31" t="n">
        <v>0</v>
      </c>
      <c r="K17" s="15">
        <f>MIN(100, MAX(0, 50 + J17 * '01_Model_Config'!$B$33))</f>
        <v/>
      </c>
    </row>
    <row r="18">
      <c r="A18" s="12">
        <f>'02_Market_Inputs'!A18</f>
        <v/>
      </c>
      <c r="B18" s="12">
        <f>'02_Market_Inputs'!B18</f>
        <v/>
      </c>
      <c r="C18" s="29" t="n">
        <v>2</v>
      </c>
      <c r="D18" s="12" t="inlineStr">
        <is>
          <t>YES</t>
        </is>
      </c>
      <c r="E18" s="12" t="inlineStr">
        <is>
          <t>NO</t>
        </is>
      </c>
      <c r="F18" s="12" t="inlineStr">
        <is>
          <t>NO</t>
        </is>
      </c>
      <c r="G18" s="12" t="inlineStr">
        <is>
          <t>NO</t>
        </is>
      </c>
      <c r="H18" s="12" t="inlineStr">
        <is>
          <t>NO</t>
        </is>
      </c>
      <c r="I18" s="29">
        <f>COUNTIF(D18:H18, "YES")</f>
        <v/>
      </c>
      <c r="J18" s="32" t="n">
        <v>0.0001</v>
      </c>
      <c r="K18" s="11">
        <f>MIN(100, MAX(0, 50 + J18 * '01_Model_Config'!$B$33))</f>
        <v/>
      </c>
    </row>
    <row r="19">
      <c r="A19" s="16">
        <f>'02_Market_Inputs'!A19</f>
        <v/>
      </c>
      <c r="B19" s="16">
        <f>'02_Market_Inputs'!B19</f>
        <v/>
      </c>
      <c r="C19" s="26" t="n">
        <v>2</v>
      </c>
      <c r="D19" s="16" t="inlineStr">
        <is>
          <t>YES</t>
        </is>
      </c>
      <c r="E19" s="16" t="inlineStr">
        <is>
          <t>NO</t>
        </is>
      </c>
      <c r="F19" s="16" t="inlineStr">
        <is>
          <t>NO</t>
        </is>
      </c>
      <c r="G19" s="16" t="inlineStr">
        <is>
          <t>NO</t>
        </is>
      </c>
      <c r="H19" s="16" t="inlineStr">
        <is>
          <t>NO</t>
        </is>
      </c>
      <c r="I19" s="26">
        <f>COUNTIF(D19:H19, "YES")</f>
        <v/>
      </c>
      <c r="J19" s="31" t="n">
        <v>0</v>
      </c>
      <c r="K19" s="15">
        <f>MIN(100, MAX(0, 50 + J19 * '01_Model_Config'!$B$33))</f>
        <v/>
      </c>
    </row>
    <row r="20">
      <c r="A20" s="12">
        <f>'02_Market_Inputs'!A20</f>
        <v/>
      </c>
      <c r="B20" s="12">
        <f>'02_Market_Inputs'!B20</f>
        <v/>
      </c>
      <c r="C20" s="29" t="n">
        <v>2</v>
      </c>
      <c r="D20" s="12" t="inlineStr">
        <is>
          <t>YES</t>
        </is>
      </c>
      <c r="E20" s="12" t="inlineStr">
        <is>
          <t>NO</t>
        </is>
      </c>
      <c r="F20" s="12" t="inlineStr">
        <is>
          <t>NO</t>
        </is>
      </c>
      <c r="G20" s="12" t="inlineStr">
        <is>
          <t>NO</t>
        </is>
      </c>
      <c r="H20" s="12" t="inlineStr">
        <is>
          <t>NO</t>
        </is>
      </c>
      <c r="I20" s="29">
        <f>COUNTIF(D20:H20, "YES")</f>
        <v/>
      </c>
      <c r="J20" s="32" t="n">
        <v>-0.0004</v>
      </c>
      <c r="K20" s="11">
        <f>MIN(100, MAX(0, 50 + J20 * '01_Model_Config'!$B$33))</f>
        <v/>
      </c>
    </row>
    <row r="21">
      <c r="A21" s="16">
        <f>'02_Market_Inputs'!A21</f>
        <v/>
      </c>
      <c r="B21" s="16">
        <f>'02_Market_Inputs'!B21</f>
        <v/>
      </c>
      <c r="C21" s="26" t="n">
        <v>2</v>
      </c>
      <c r="D21" s="16" t="inlineStr">
        <is>
          <t>YES</t>
        </is>
      </c>
      <c r="E21" s="16" t="inlineStr">
        <is>
          <t>NO</t>
        </is>
      </c>
      <c r="F21" s="16" t="inlineStr">
        <is>
          <t>NO</t>
        </is>
      </c>
      <c r="G21" s="16" t="inlineStr">
        <is>
          <t>NO</t>
        </is>
      </c>
      <c r="H21" s="16" t="inlineStr">
        <is>
          <t>NO</t>
        </is>
      </c>
      <c r="I21" s="26">
        <f>COUNTIF(D21:H21, "YES")</f>
        <v/>
      </c>
      <c r="J21" s="31" t="n">
        <v>-0.0004</v>
      </c>
      <c r="K21" s="15">
        <f>MIN(100, MAX(0, 50 + J21 * '01_Model_Config'!$B$33))</f>
        <v/>
      </c>
    </row>
    <row r="22">
      <c r="A22" s="12">
        <f>'02_Market_Inputs'!A22</f>
        <v/>
      </c>
      <c r="B22" s="12">
        <f>'02_Market_Inputs'!B22</f>
        <v/>
      </c>
      <c r="C22" s="29" t="n">
        <v>2</v>
      </c>
      <c r="D22" s="12" t="inlineStr">
        <is>
          <t>YES</t>
        </is>
      </c>
      <c r="E22" s="12" t="inlineStr">
        <is>
          <t>NO</t>
        </is>
      </c>
      <c r="F22" s="12" t="inlineStr">
        <is>
          <t>NO</t>
        </is>
      </c>
      <c r="G22" s="12" t="inlineStr">
        <is>
          <t>NO</t>
        </is>
      </c>
      <c r="H22" s="12" t="inlineStr">
        <is>
          <t>NO</t>
        </is>
      </c>
      <c r="I22" s="29">
        <f>COUNTIF(D22:H22, "YES")</f>
        <v/>
      </c>
      <c r="J22" s="32" t="n">
        <v>-0.0002</v>
      </c>
      <c r="K22" s="11">
        <f>MIN(100, MAX(0, 50 + J22 * '01_Model_Config'!$B$33))</f>
        <v/>
      </c>
    </row>
    <row r="23">
      <c r="A23" s="16">
        <f>'02_Market_Inputs'!A23</f>
        <v/>
      </c>
      <c r="B23" s="16">
        <f>'02_Market_Inputs'!B23</f>
        <v/>
      </c>
      <c r="C23" s="26" t="n">
        <v>2</v>
      </c>
      <c r="D23" s="16" t="inlineStr">
        <is>
          <t>YES</t>
        </is>
      </c>
      <c r="E23" s="16" t="inlineStr">
        <is>
          <t>YES</t>
        </is>
      </c>
      <c r="F23" s="16" t="inlineStr">
        <is>
          <t>NO</t>
        </is>
      </c>
      <c r="G23" s="16" t="inlineStr">
        <is>
          <t>NO</t>
        </is>
      </c>
      <c r="H23" s="16" t="inlineStr">
        <is>
          <t>NO</t>
        </is>
      </c>
      <c r="I23" s="26">
        <f>COUNTIF(D23:H23, "YES")</f>
        <v/>
      </c>
      <c r="J23" s="31" t="n">
        <v>-0</v>
      </c>
      <c r="K23" s="15">
        <f>MIN(100, MAX(0, 50 + J23 * '01_Model_Config'!$B$33))</f>
        <v/>
      </c>
    </row>
    <row r="24">
      <c r="A24" s="12">
        <f>'02_Market_Inputs'!A24</f>
        <v/>
      </c>
      <c r="B24" s="12">
        <f>'02_Market_Inputs'!B24</f>
        <v/>
      </c>
      <c r="C24" s="29" t="n">
        <v>2</v>
      </c>
      <c r="D24" s="12" t="inlineStr">
        <is>
          <t>YES</t>
        </is>
      </c>
      <c r="E24" s="12" t="inlineStr">
        <is>
          <t>NO</t>
        </is>
      </c>
      <c r="F24" s="12" t="inlineStr">
        <is>
          <t>NO</t>
        </is>
      </c>
      <c r="G24" s="12" t="inlineStr">
        <is>
          <t>NO</t>
        </is>
      </c>
      <c r="H24" s="12" t="inlineStr">
        <is>
          <t>NO</t>
        </is>
      </c>
      <c r="I24" s="29">
        <f>COUNTIF(D24:H24, "YES")</f>
        <v/>
      </c>
      <c r="J24" s="32" t="n">
        <v>0.0003</v>
      </c>
      <c r="K24" s="11">
        <f>MIN(100, MAX(0, 50 + J24 * '01_Model_Config'!$B$33))</f>
        <v/>
      </c>
    </row>
    <row r="25">
      <c r="A25" s="16">
        <f>'02_Market_Inputs'!A25</f>
        <v/>
      </c>
      <c r="B25" s="16">
        <f>'02_Market_Inputs'!B25</f>
        <v/>
      </c>
      <c r="C25" s="26" t="n">
        <v>2</v>
      </c>
      <c r="D25" s="16" t="inlineStr">
        <is>
          <t>YES</t>
        </is>
      </c>
      <c r="E25" s="16" t="inlineStr">
        <is>
          <t>YES</t>
        </is>
      </c>
      <c r="F25" s="16" t="inlineStr">
        <is>
          <t>NO</t>
        </is>
      </c>
      <c r="G25" s="16" t="inlineStr">
        <is>
          <t>NO</t>
        </is>
      </c>
      <c r="H25" s="16" t="inlineStr">
        <is>
          <t>NO</t>
        </is>
      </c>
      <c r="I25" s="26">
        <f>COUNTIF(D25:H25, "YES")</f>
        <v/>
      </c>
      <c r="J25" s="31" t="n">
        <v>0.0003</v>
      </c>
      <c r="K25" s="15">
        <f>MIN(100, MAX(0, 50 + J25 * '01_Model_Config'!$B$33))</f>
        <v/>
      </c>
    </row>
    <row r="26">
      <c r="A26" s="12">
        <f>'02_Market_Inputs'!A26</f>
        <v/>
      </c>
      <c r="B26" s="12">
        <f>'02_Market_Inputs'!B26</f>
        <v/>
      </c>
      <c r="C26" s="29" t="n">
        <v>2</v>
      </c>
      <c r="D26" s="12" t="inlineStr">
        <is>
          <t>YES</t>
        </is>
      </c>
      <c r="E26" s="12" t="inlineStr">
        <is>
          <t>YES</t>
        </is>
      </c>
      <c r="F26" s="12" t="inlineStr">
        <is>
          <t>NO</t>
        </is>
      </c>
      <c r="G26" s="12" t="inlineStr">
        <is>
          <t>NO</t>
        </is>
      </c>
      <c r="H26" s="12" t="inlineStr">
        <is>
          <t>NO</t>
        </is>
      </c>
      <c r="I26" s="29">
        <f>COUNTIF(D26:H26, "YES")</f>
        <v/>
      </c>
      <c r="J26" s="32" t="n">
        <v>0.0004</v>
      </c>
      <c r="K26" s="11">
        <f>MIN(100, MAX(0, 50 + J26 * '01_Model_Config'!$B$33))</f>
        <v/>
      </c>
    </row>
    <row r="27">
      <c r="A27" s="16">
        <f>'02_Market_Inputs'!A27</f>
        <v/>
      </c>
      <c r="B27" s="16">
        <f>'02_Market_Inputs'!B27</f>
        <v/>
      </c>
      <c r="C27" s="26" t="n">
        <v>2</v>
      </c>
      <c r="D27" s="16" t="inlineStr">
        <is>
          <t>YES</t>
        </is>
      </c>
      <c r="E27" s="16" t="inlineStr">
        <is>
          <t>YES</t>
        </is>
      </c>
      <c r="F27" s="16" t="inlineStr">
        <is>
          <t>NO</t>
        </is>
      </c>
      <c r="G27" s="16" t="inlineStr">
        <is>
          <t>NO</t>
        </is>
      </c>
      <c r="H27" s="16" t="inlineStr">
        <is>
          <t>NO</t>
        </is>
      </c>
      <c r="I27" s="26">
        <f>COUNTIF(D27:H27, "YES")</f>
        <v/>
      </c>
      <c r="J27" s="31" t="n">
        <v>0.0005999999999999999</v>
      </c>
      <c r="K27" s="15">
        <f>MIN(100, MAX(0, 50 + J27 * '01_Model_Config'!$B$33))</f>
        <v/>
      </c>
    </row>
    <row r="28">
      <c r="A28" s="12">
        <f>'02_Market_Inputs'!A28</f>
        <v/>
      </c>
      <c r="B28" s="12">
        <f>'02_Market_Inputs'!B28</f>
        <v/>
      </c>
      <c r="C28" s="29" t="n">
        <v>2</v>
      </c>
      <c r="D28" s="12" t="inlineStr">
        <is>
          <t>YES</t>
        </is>
      </c>
      <c r="E28" s="12" t="inlineStr">
        <is>
          <t>NO</t>
        </is>
      </c>
      <c r="F28" s="12" t="inlineStr">
        <is>
          <t>NO</t>
        </is>
      </c>
      <c r="G28" s="12" t="inlineStr">
        <is>
          <t>NO</t>
        </is>
      </c>
      <c r="H28" s="12" t="inlineStr">
        <is>
          <t>NO</t>
        </is>
      </c>
      <c r="I28" s="29">
        <f>COUNTIF(D28:H28, "YES")</f>
        <v/>
      </c>
      <c r="J28" s="32" t="n">
        <v>0.0011</v>
      </c>
      <c r="K28" s="11">
        <f>MIN(100, MAX(0, 50 + J28 * '01_Model_Config'!$B$33))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102" customWidth="1" min="1" max="1"/>
    <col width="13" customWidth="1" min="2" max="2"/>
    <col width="11" customWidth="1" min="3" max="3"/>
    <col width="12" customWidth="1" min="4" max="4"/>
    <col width="17" customWidth="1" min="5" max="5"/>
    <col width="22" customWidth="1" min="6" max="6"/>
    <col width="15" customWidth="1" min="7" max="7"/>
    <col width="18" customWidth="1" min="8" max="8"/>
    <col width="16" customWidth="1" min="9" max="9"/>
    <col width="17" customWidth="1" min="10" max="10"/>
    <col width="27" customWidth="1" min="11" max="11"/>
    <col width="26" customWidth="1" min="12" max="12"/>
  </cols>
  <sheetData>
    <row r="1">
      <c r="A1" s="1" t="inlineStr">
        <is>
          <t>VN-INDEX QUANTITATIVE MODEL — MACHINE LEARNING &amp; WALK-FORWARD VALIDATION (WFV)</t>
        </is>
      </c>
    </row>
    <row r="2">
      <c r="A2" s="2" t="inlineStr">
        <is>
          <t>XGBoost 3-state market classifier (UP=+1 / SIDEWAY=0 / DOWN=-1) with 8-Fold Walk-Forward Validation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ML Model</t>
        </is>
      </c>
      <c r="D4" s="8" t="inlineStr">
        <is>
          <t>WFV Folds</t>
        </is>
      </c>
      <c r="E4" s="8" t="inlineStr">
        <is>
          <t>Features Count</t>
        </is>
      </c>
      <c r="F4" s="8" t="inlineStr">
        <is>
          <t>WFV Accuracy (%)</t>
        </is>
      </c>
      <c r="G4" s="8" t="inlineStr">
        <is>
          <t>WFV Macro F1</t>
        </is>
      </c>
      <c r="H4" s="8" t="inlineStr">
        <is>
          <t>Predicted Class</t>
        </is>
      </c>
      <c r="I4" s="8" t="inlineStr">
        <is>
          <t>ML Prediction</t>
        </is>
      </c>
      <c r="J4" s="8" t="inlineStr">
        <is>
          <t>Confidence (%)</t>
        </is>
      </c>
      <c r="K4" s="8" t="inlineStr">
        <is>
          <t>ML Quality Score (0-100)</t>
        </is>
      </c>
      <c r="L4" s="8" t="inlineStr">
        <is>
          <t>ML Signal Score (0-100)</t>
        </is>
      </c>
    </row>
    <row r="5">
      <c r="A5" s="16">
        <f>'02_Market_Inputs'!A5</f>
        <v/>
      </c>
      <c r="B5" s="16">
        <f>'02_Market_Inputs'!B5</f>
        <v/>
      </c>
      <c r="C5" s="16" t="inlineStr">
        <is>
          <t>xgboost</t>
        </is>
      </c>
      <c r="D5" s="23" t="n">
        <v>8</v>
      </c>
      <c r="E5" s="23" t="n">
        <v>104</v>
      </c>
      <c r="F5" s="14" t="n">
        <v>0.526</v>
      </c>
      <c r="G5" s="33" t="n">
        <v>0.52</v>
      </c>
      <c r="H5" s="16" t="n">
        <v>1</v>
      </c>
      <c r="I5" s="16" t="inlineStr">
        <is>
          <t>UP</t>
        </is>
      </c>
      <c r="J5" s="14" t="n">
        <v>0.99</v>
      </c>
      <c r="K5" s="15">
        <f>MIN(100, MAX(0, (F5 + G5)/2 * 100))</f>
        <v/>
      </c>
      <c r="L5" s="15">
        <f>IF(H5=1, 80, IF(H5=-1, 20, 50)) + IF(J5&gt;0.6, (J5-0.6)*50, 0)</f>
        <v/>
      </c>
    </row>
    <row r="6">
      <c r="A6" s="12">
        <f>'02_Market_Inputs'!A6</f>
        <v/>
      </c>
      <c r="B6" s="12">
        <f>'02_Market_Inputs'!B6</f>
        <v/>
      </c>
      <c r="C6" s="12" t="inlineStr">
        <is>
          <t>xgboost</t>
        </is>
      </c>
      <c r="D6" s="24" t="n">
        <v>8</v>
      </c>
      <c r="E6" s="24" t="n">
        <v>104</v>
      </c>
      <c r="F6" s="10" t="n">
        <v>0.597</v>
      </c>
      <c r="G6" s="34" t="n">
        <v>0.5659999999999999</v>
      </c>
      <c r="H6" s="12" t="n">
        <v>-1</v>
      </c>
      <c r="I6" s="12" t="inlineStr">
        <is>
          <t>DOWN</t>
        </is>
      </c>
      <c r="J6" s="10" t="n">
        <v>0.8100000000000001</v>
      </c>
      <c r="K6" s="11">
        <f>MIN(100, MAX(0, (F6 + G6)/2 * 100))</f>
        <v/>
      </c>
      <c r="L6" s="11">
        <f>IF(H6=1, 80, IF(H6=-1, 20, 50)) + IF(J6&gt;0.6, (J6-0.6)*50, 0)</f>
        <v/>
      </c>
    </row>
    <row r="7">
      <c r="A7" s="16">
        <f>'02_Market_Inputs'!A7</f>
        <v/>
      </c>
      <c r="B7" s="16">
        <f>'02_Market_Inputs'!B7</f>
        <v/>
      </c>
      <c r="C7" s="16" t="inlineStr">
        <is>
          <t>xgboost</t>
        </is>
      </c>
      <c r="D7" s="23" t="n">
        <v>8</v>
      </c>
      <c r="E7" s="23" t="n">
        <v>104</v>
      </c>
      <c r="F7" s="14" t="n">
        <v>0.524</v>
      </c>
      <c r="G7" s="33" t="n">
        <v>0.512</v>
      </c>
      <c r="H7" s="16" t="n">
        <v>-1</v>
      </c>
      <c r="I7" s="16" t="inlineStr">
        <is>
          <t>DOWN</t>
        </is>
      </c>
      <c r="J7" s="14" t="n">
        <v>0.68</v>
      </c>
      <c r="K7" s="15">
        <f>MIN(100, MAX(0, (F7 + G7)/2 * 100))</f>
        <v/>
      </c>
      <c r="L7" s="15">
        <f>IF(H7=1, 80, IF(H7=-1, 20, 50)) + IF(J7&gt;0.6, (J7-0.6)*50, 0)</f>
        <v/>
      </c>
    </row>
    <row r="8">
      <c r="A8" s="12">
        <f>'02_Market_Inputs'!A8</f>
        <v/>
      </c>
      <c r="B8" s="12">
        <f>'02_Market_Inputs'!B8</f>
        <v/>
      </c>
      <c r="C8" s="12" t="inlineStr">
        <is>
          <t>xgboost</t>
        </is>
      </c>
      <c r="D8" s="24" t="n">
        <v>8</v>
      </c>
      <c r="E8" s="24" t="n">
        <v>104</v>
      </c>
      <c r="F8" s="10" t="n">
        <v>0.5649999999999999</v>
      </c>
      <c r="G8" s="34" t="n">
        <v>0.528</v>
      </c>
      <c r="H8" s="12" t="n">
        <v>-1</v>
      </c>
      <c r="I8" s="12" t="inlineStr">
        <is>
          <t>DOWN</t>
        </is>
      </c>
      <c r="J8" s="10" t="n">
        <v>0.45</v>
      </c>
      <c r="K8" s="11">
        <f>MIN(100, MAX(0, (F8 + G8)/2 * 100))</f>
        <v/>
      </c>
      <c r="L8" s="11">
        <f>IF(H8=1, 80, IF(H8=-1, 20, 50)) + IF(J8&gt;0.6, (J8-0.6)*50, 0)</f>
        <v/>
      </c>
    </row>
    <row r="9">
      <c r="A9" s="16">
        <f>'02_Market_Inputs'!A9</f>
        <v/>
      </c>
      <c r="B9" s="16">
        <f>'02_Market_Inputs'!B9</f>
        <v/>
      </c>
      <c r="C9" s="16" t="inlineStr">
        <is>
          <t>xgboost</t>
        </is>
      </c>
      <c r="D9" s="23" t="n">
        <v>8</v>
      </c>
      <c r="E9" s="23" t="n">
        <v>104</v>
      </c>
      <c r="F9" s="14" t="n">
        <v>0.534</v>
      </c>
      <c r="G9" s="33" t="n">
        <v>0.493</v>
      </c>
      <c r="H9" s="16" t="n">
        <v>1</v>
      </c>
      <c r="I9" s="16" t="inlineStr">
        <is>
          <t>UP</t>
        </is>
      </c>
      <c r="J9" s="14" t="n">
        <v>0.82</v>
      </c>
      <c r="K9" s="15">
        <f>MIN(100, MAX(0, (F9 + G9)/2 * 100))</f>
        <v/>
      </c>
      <c r="L9" s="15">
        <f>IF(H9=1, 80, IF(H9=-1, 20, 50)) + IF(J9&gt;0.6, (J9-0.6)*50, 0)</f>
        <v/>
      </c>
    </row>
    <row r="10">
      <c r="A10" s="12">
        <f>'02_Market_Inputs'!A10</f>
        <v/>
      </c>
      <c r="B10" s="12">
        <f>'02_Market_Inputs'!B10</f>
        <v/>
      </c>
      <c r="C10" s="12" t="inlineStr">
        <is>
          <t>xgboost</t>
        </is>
      </c>
      <c r="D10" s="24" t="n">
        <v>8</v>
      </c>
      <c r="E10" s="24" t="n">
        <v>104</v>
      </c>
      <c r="F10" s="10" t="n">
        <v>0.444</v>
      </c>
      <c r="G10" s="34" t="n">
        <v>0.406</v>
      </c>
      <c r="H10" s="12" t="n">
        <v>-1</v>
      </c>
      <c r="I10" s="12" t="inlineStr">
        <is>
          <t>DOWN</t>
        </is>
      </c>
      <c r="J10" s="10" t="n">
        <v>0.57</v>
      </c>
      <c r="K10" s="11">
        <f>MIN(100, MAX(0, (F10 + G10)/2 * 100))</f>
        <v/>
      </c>
      <c r="L10" s="11">
        <f>IF(H10=1, 80, IF(H10=-1, 20, 50)) + IF(J10&gt;0.6, (J10-0.6)*50, 0)</f>
        <v/>
      </c>
    </row>
    <row r="11">
      <c r="A11" s="16">
        <f>'02_Market_Inputs'!A11</f>
        <v/>
      </c>
      <c r="B11" s="16">
        <f>'02_Market_Inputs'!B11</f>
        <v/>
      </c>
      <c r="C11" s="16" t="inlineStr">
        <is>
          <t>xgboost</t>
        </is>
      </c>
      <c r="D11" s="23" t="n">
        <v>8</v>
      </c>
      <c r="E11" s="23" t="n">
        <v>104</v>
      </c>
      <c r="F11" s="14" t="n">
        <v>0.422</v>
      </c>
      <c r="G11" s="33" t="n">
        <v>0.364</v>
      </c>
      <c r="H11" s="16" t="n">
        <v>1</v>
      </c>
      <c r="I11" s="16" t="inlineStr">
        <is>
          <t>UP</t>
        </is>
      </c>
      <c r="J11" s="14" t="n">
        <v>0.6899999999999999</v>
      </c>
      <c r="K11" s="15">
        <f>MIN(100, MAX(0, (F11 + G11)/2 * 100))</f>
        <v/>
      </c>
      <c r="L11" s="15">
        <f>IF(H11=1, 80, IF(H11=-1, 20, 50)) + IF(J11&gt;0.6, (J11-0.6)*50, 0)</f>
        <v/>
      </c>
    </row>
    <row r="12">
      <c r="A12" s="12">
        <f>'02_Market_Inputs'!A12</f>
        <v/>
      </c>
      <c r="B12" s="12">
        <f>'02_Market_Inputs'!B12</f>
        <v/>
      </c>
      <c r="C12" s="12" t="inlineStr">
        <is>
          <t>xgboost</t>
        </is>
      </c>
      <c r="D12" s="24" t="n">
        <v>8</v>
      </c>
      <c r="E12" s="24" t="n">
        <v>104</v>
      </c>
      <c r="F12" s="10" t="n">
        <v>0.419</v>
      </c>
      <c r="G12" s="34" t="n">
        <v>0.38</v>
      </c>
      <c r="H12" s="12" t="n">
        <v>-1</v>
      </c>
      <c r="I12" s="12" t="inlineStr">
        <is>
          <t>DOWN</t>
        </is>
      </c>
      <c r="J12" s="10" t="n">
        <v>0.91</v>
      </c>
      <c r="K12" s="11">
        <f>MIN(100, MAX(0, (F12 + G12)/2 * 100))</f>
        <v/>
      </c>
      <c r="L12" s="11">
        <f>IF(H12=1, 80, IF(H12=-1, 20, 50)) + IF(J12&gt;0.6, (J12-0.6)*50, 0)</f>
        <v/>
      </c>
    </row>
    <row r="13">
      <c r="A13" s="16">
        <f>'02_Market_Inputs'!A13</f>
        <v/>
      </c>
      <c r="B13" s="16">
        <f>'02_Market_Inputs'!B13</f>
        <v/>
      </c>
      <c r="C13" s="16" t="inlineStr">
        <is>
          <t>xgboost</t>
        </is>
      </c>
      <c r="D13" s="23" t="n">
        <v>8</v>
      </c>
      <c r="E13" s="23" t="n">
        <v>104</v>
      </c>
      <c r="F13" s="14" t="n">
        <v>0.402</v>
      </c>
      <c r="G13" s="33" t="n">
        <v>0.329</v>
      </c>
      <c r="H13" s="16" t="n">
        <v>1</v>
      </c>
      <c r="I13" s="16" t="inlineStr">
        <is>
          <t>UP</t>
        </is>
      </c>
      <c r="J13" s="14" t="n">
        <v>0.59</v>
      </c>
      <c r="K13" s="15">
        <f>MIN(100, MAX(0, (F13 + G13)/2 * 100))</f>
        <v/>
      </c>
      <c r="L13" s="15">
        <f>IF(H13=1, 80, IF(H13=-1, 20, 50)) + IF(J13&gt;0.6, (J13-0.6)*50, 0)</f>
        <v/>
      </c>
    </row>
    <row r="14">
      <c r="A14" s="12">
        <f>'02_Market_Inputs'!A14</f>
        <v/>
      </c>
      <c r="B14" s="12">
        <f>'02_Market_Inputs'!B14</f>
        <v/>
      </c>
      <c r="C14" s="12" t="inlineStr">
        <is>
          <t>xgboost</t>
        </is>
      </c>
      <c r="D14" s="24" t="n">
        <v>8</v>
      </c>
      <c r="E14" s="24" t="n">
        <v>104</v>
      </c>
      <c r="F14" s="10" t="n">
        <v>0.415</v>
      </c>
      <c r="G14" s="34" t="n">
        <v>0.322</v>
      </c>
      <c r="H14" s="12" t="n">
        <v>1</v>
      </c>
      <c r="I14" s="12" t="inlineStr">
        <is>
          <t>UP</t>
        </is>
      </c>
      <c r="J14" s="10" t="n">
        <v>0.64</v>
      </c>
      <c r="K14" s="11">
        <f>MIN(100, MAX(0, (F14 + G14)/2 * 100))</f>
        <v/>
      </c>
      <c r="L14" s="11">
        <f>IF(H14=1, 80, IF(H14=-1, 20, 50)) + IF(J14&gt;0.6, (J14-0.6)*50, 0)</f>
        <v/>
      </c>
    </row>
    <row r="15">
      <c r="A15" s="16">
        <f>'02_Market_Inputs'!A15</f>
        <v/>
      </c>
      <c r="B15" s="16">
        <f>'02_Market_Inputs'!B15</f>
        <v/>
      </c>
      <c r="C15" s="16" t="inlineStr">
        <is>
          <t>xgboost</t>
        </is>
      </c>
      <c r="D15" s="23" t="n">
        <v>8</v>
      </c>
      <c r="E15" s="23" t="n">
        <v>104</v>
      </c>
      <c r="F15" s="14" t="n">
        <v>0.429</v>
      </c>
      <c r="G15" s="33" t="n">
        <v>0.35</v>
      </c>
      <c r="H15" s="16" t="n">
        <v>1</v>
      </c>
      <c r="I15" s="16" t="inlineStr">
        <is>
          <t>UP</t>
        </is>
      </c>
      <c r="J15" s="14" t="n">
        <v>0.51</v>
      </c>
      <c r="K15" s="15">
        <f>MIN(100, MAX(0, (F15 + G15)/2 * 100))</f>
        <v/>
      </c>
      <c r="L15" s="15">
        <f>IF(H15=1, 80, IF(H15=-1, 20, 50)) + IF(J15&gt;0.6, (J15-0.6)*50, 0)</f>
        <v/>
      </c>
    </row>
    <row r="16">
      <c r="A16" s="12">
        <f>'02_Market_Inputs'!A16</f>
        <v/>
      </c>
      <c r="B16" s="12">
        <f>'02_Market_Inputs'!B16</f>
        <v/>
      </c>
      <c r="C16" s="12" t="inlineStr">
        <is>
          <t>xgboost</t>
        </is>
      </c>
      <c r="D16" s="24" t="n">
        <v>8</v>
      </c>
      <c r="E16" s="24" t="n">
        <v>104</v>
      </c>
      <c r="F16" s="10" t="n">
        <v>0.414</v>
      </c>
      <c r="G16" s="34" t="n">
        <v>0.346</v>
      </c>
      <c r="H16" s="12" t="n">
        <v>-1</v>
      </c>
      <c r="I16" s="12" t="inlineStr">
        <is>
          <t>DOWN</t>
        </is>
      </c>
      <c r="J16" s="10" t="n">
        <v>0.84</v>
      </c>
      <c r="K16" s="11">
        <f>MIN(100, MAX(0, (F16 + G16)/2 * 100))</f>
        <v/>
      </c>
      <c r="L16" s="11">
        <f>IF(H16=1, 80, IF(H16=-1, 20, 50)) + IF(J16&gt;0.6, (J16-0.6)*50, 0)</f>
        <v/>
      </c>
    </row>
    <row r="17">
      <c r="A17" s="16">
        <f>'02_Market_Inputs'!A17</f>
        <v/>
      </c>
      <c r="B17" s="16">
        <f>'02_Market_Inputs'!B17</f>
        <v/>
      </c>
      <c r="C17" s="16" t="inlineStr">
        <is>
          <t>xgboost</t>
        </is>
      </c>
      <c r="D17" s="23" t="n">
        <v>8</v>
      </c>
      <c r="E17" s="23" t="n">
        <v>104</v>
      </c>
      <c r="F17" s="14" t="n">
        <v>0.419</v>
      </c>
      <c r="G17" s="33" t="n">
        <v>0.355</v>
      </c>
      <c r="H17" s="16" t="n">
        <v>1</v>
      </c>
      <c r="I17" s="16" t="inlineStr">
        <is>
          <t>UP</t>
        </is>
      </c>
      <c r="J17" s="14" t="n">
        <v>0.5</v>
      </c>
      <c r="K17" s="15">
        <f>MIN(100, MAX(0, (F17 + G17)/2 * 100))</f>
        <v/>
      </c>
      <c r="L17" s="15">
        <f>IF(H17=1, 80, IF(H17=-1, 20, 50)) + IF(J17&gt;0.6, (J17-0.6)*50, 0)</f>
        <v/>
      </c>
    </row>
    <row r="18">
      <c r="A18" s="12">
        <f>'02_Market_Inputs'!A18</f>
        <v/>
      </c>
      <c r="B18" s="12">
        <f>'02_Market_Inputs'!B18</f>
        <v/>
      </c>
      <c r="C18" s="12" t="inlineStr">
        <is>
          <t>xgboost</t>
        </is>
      </c>
      <c r="D18" s="24" t="n">
        <v>8</v>
      </c>
      <c r="E18" s="24" t="n">
        <v>104</v>
      </c>
      <c r="F18" s="10" t="n">
        <v>0.474</v>
      </c>
      <c r="G18" s="34" t="n">
        <v>0.411</v>
      </c>
      <c r="H18" s="12" t="n">
        <v>1</v>
      </c>
      <c r="I18" s="12" t="inlineStr">
        <is>
          <t>UP</t>
        </is>
      </c>
      <c r="J18" s="10" t="n">
        <v>0.61</v>
      </c>
      <c r="K18" s="11">
        <f>MIN(100, MAX(0, (F18 + G18)/2 * 100))</f>
        <v/>
      </c>
      <c r="L18" s="11">
        <f>IF(H18=1, 80, IF(H18=-1, 20, 50)) + IF(J18&gt;0.6, (J18-0.6)*50, 0)</f>
        <v/>
      </c>
    </row>
    <row r="19">
      <c r="A19" s="16">
        <f>'02_Market_Inputs'!A19</f>
        <v/>
      </c>
      <c r="B19" s="16">
        <f>'02_Market_Inputs'!B19</f>
        <v/>
      </c>
      <c r="C19" s="16" t="inlineStr">
        <is>
          <t>xgboost</t>
        </is>
      </c>
      <c r="D19" s="23" t="n">
        <v>8</v>
      </c>
      <c r="E19" s="23" t="n">
        <v>104</v>
      </c>
      <c r="F19" s="14" t="n">
        <v>0.413</v>
      </c>
      <c r="G19" s="33" t="n">
        <v>0.353</v>
      </c>
      <c r="H19" s="16" t="n">
        <v>1</v>
      </c>
      <c r="I19" s="16" t="inlineStr">
        <is>
          <t>UP</t>
        </is>
      </c>
      <c r="J19" s="14" t="n">
        <v>0.82</v>
      </c>
      <c r="K19" s="15">
        <f>MIN(100, MAX(0, (F19 + G19)/2 * 100))</f>
        <v/>
      </c>
      <c r="L19" s="15">
        <f>IF(H19=1, 80, IF(H19=-1, 20, 50)) + IF(J19&gt;0.6, (J19-0.6)*50, 0)</f>
        <v/>
      </c>
    </row>
    <row r="20">
      <c r="A20" s="12">
        <f>'02_Market_Inputs'!A20</f>
        <v/>
      </c>
      <c r="B20" s="12">
        <f>'02_Market_Inputs'!B20</f>
        <v/>
      </c>
      <c r="C20" s="12" t="inlineStr">
        <is>
          <t>xgboost</t>
        </is>
      </c>
      <c r="D20" s="24" t="n">
        <v>8</v>
      </c>
      <c r="E20" s="24" t="n">
        <v>104</v>
      </c>
      <c r="F20" s="10" t="n">
        <v>0.429</v>
      </c>
      <c r="G20" s="34" t="n">
        <v>0.389</v>
      </c>
      <c r="H20" s="12" t="n">
        <v>0</v>
      </c>
      <c r="I20" s="12" t="inlineStr">
        <is>
          <t>NEUTRAL</t>
        </is>
      </c>
      <c r="J20" s="10" t="n">
        <v>0.5</v>
      </c>
      <c r="K20" s="11">
        <f>MIN(100, MAX(0, (F20 + G20)/2 * 100))</f>
        <v/>
      </c>
      <c r="L20" s="11">
        <f>IF(H20=1, 80, IF(H20=-1, 20, 50)) + IF(J20&gt;0.6, (J20-0.6)*50, 0)</f>
        <v/>
      </c>
    </row>
    <row r="21">
      <c r="A21" s="16">
        <f>'02_Market_Inputs'!A21</f>
        <v/>
      </c>
      <c r="B21" s="16">
        <f>'02_Market_Inputs'!B21</f>
        <v/>
      </c>
      <c r="C21" s="16" t="inlineStr">
        <is>
          <t>xgboost</t>
        </is>
      </c>
      <c r="D21" s="23" t="n">
        <v>8</v>
      </c>
      <c r="E21" s="23" t="n">
        <v>104</v>
      </c>
      <c r="F21" s="14" t="n">
        <v>0.491</v>
      </c>
      <c r="G21" s="33" t="n">
        <v>0.45</v>
      </c>
      <c r="H21" s="16" t="n">
        <v>1</v>
      </c>
      <c r="I21" s="16" t="inlineStr">
        <is>
          <t>UP</t>
        </is>
      </c>
      <c r="J21" s="14" t="n">
        <v>0.58</v>
      </c>
      <c r="K21" s="15">
        <f>MIN(100, MAX(0, (F21 + G21)/2 * 100))</f>
        <v/>
      </c>
      <c r="L21" s="15">
        <f>IF(H21=1, 80, IF(H21=-1, 20, 50)) + IF(J21&gt;0.6, (J21-0.6)*50, 0)</f>
        <v/>
      </c>
    </row>
    <row r="22">
      <c r="A22" s="12">
        <f>'02_Market_Inputs'!A22</f>
        <v/>
      </c>
      <c r="B22" s="12">
        <f>'02_Market_Inputs'!B22</f>
        <v/>
      </c>
      <c r="C22" s="12" t="inlineStr">
        <is>
          <t>xgboost</t>
        </is>
      </c>
      <c r="D22" s="24" t="n">
        <v>8</v>
      </c>
      <c r="E22" s="24" t="n">
        <v>104</v>
      </c>
      <c r="F22" s="10" t="n">
        <v>0.4</v>
      </c>
      <c r="G22" s="34" t="n">
        <v>0.347</v>
      </c>
      <c r="H22" s="12" t="n">
        <v>0</v>
      </c>
      <c r="I22" s="12" t="inlineStr">
        <is>
          <t>NEUTRAL</t>
        </is>
      </c>
      <c r="J22" s="10" t="n">
        <v>0.5</v>
      </c>
      <c r="K22" s="11">
        <f>MIN(100, MAX(0, (F22 + G22)/2 * 100))</f>
        <v/>
      </c>
      <c r="L22" s="11">
        <f>IF(H22=1, 80, IF(H22=-1, 20, 50)) + IF(J22&gt;0.6, (J22-0.6)*50, 0)</f>
        <v/>
      </c>
    </row>
    <row r="23">
      <c r="A23" s="16">
        <f>'02_Market_Inputs'!A23</f>
        <v/>
      </c>
      <c r="B23" s="16">
        <f>'02_Market_Inputs'!B23</f>
        <v/>
      </c>
      <c r="C23" s="16" t="inlineStr">
        <is>
          <t>xgboost</t>
        </is>
      </c>
      <c r="D23" s="23" t="n">
        <v>8</v>
      </c>
      <c r="E23" s="23" t="n">
        <v>104</v>
      </c>
      <c r="F23" s="14" t="n">
        <v>0.451</v>
      </c>
      <c r="G23" s="33" t="n">
        <v>0.407</v>
      </c>
      <c r="H23" s="16" t="n">
        <v>1</v>
      </c>
      <c r="I23" s="16" t="inlineStr">
        <is>
          <t>UP</t>
        </is>
      </c>
      <c r="J23" s="14" t="n">
        <v>0.62</v>
      </c>
      <c r="K23" s="15">
        <f>MIN(100, MAX(0, (F23 + G23)/2 * 100))</f>
        <v/>
      </c>
      <c r="L23" s="15">
        <f>IF(H23=1, 80, IF(H23=-1, 20, 50)) + IF(J23&gt;0.6, (J23-0.6)*50, 0)</f>
        <v/>
      </c>
    </row>
    <row r="24">
      <c r="A24" s="12">
        <f>'02_Market_Inputs'!A24</f>
        <v/>
      </c>
      <c r="B24" s="12">
        <f>'02_Market_Inputs'!B24</f>
        <v/>
      </c>
      <c r="C24" s="12" t="inlineStr">
        <is>
          <t>xgboost</t>
        </is>
      </c>
      <c r="D24" s="24" t="n">
        <v>8</v>
      </c>
      <c r="E24" s="24" t="n">
        <v>104</v>
      </c>
      <c r="F24" s="10" t="n">
        <v>0.452</v>
      </c>
      <c r="G24" s="34" t="n">
        <v>0.429</v>
      </c>
      <c r="H24" s="12" t="n">
        <v>1</v>
      </c>
      <c r="I24" s="12" t="inlineStr">
        <is>
          <t>UP</t>
        </is>
      </c>
      <c r="J24" s="10" t="n">
        <v>0.42</v>
      </c>
      <c r="K24" s="11">
        <f>MIN(100, MAX(0, (F24 + G24)/2 * 100))</f>
        <v/>
      </c>
      <c r="L24" s="11">
        <f>IF(H24=1, 80, IF(H24=-1, 20, 50)) + IF(J24&gt;0.6, (J24-0.6)*50, 0)</f>
        <v/>
      </c>
    </row>
    <row r="25">
      <c r="A25" s="16">
        <f>'02_Market_Inputs'!A25</f>
        <v/>
      </c>
      <c r="B25" s="16">
        <f>'02_Market_Inputs'!B25</f>
        <v/>
      </c>
      <c r="C25" s="16" t="inlineStr">
        <is>
          <t>xgboost</t>
        </is>
      </c>
      <c r="D25" s="23" t="n">
        <v>8</v>
      </c>
      <c r="E25" s="23" t="n">
        <v>104</v>
      </c>
      <c r="F25" s="14" t="n">
        <v>0.474</v>
      </c>
      <c r="G25" s="33" t="n">
        <v>0.452</v>
      </c>
      <c r="H25" s="16" t="n">
        <v>0</v>
      </c>
      <c r="I25" s="16" t="inlineStr">
        <is>
          <t>NEUTRAL</t>
        </is>
      </c>
      <c r="J25" s="14" t="n">
        <v>0.5</v>
      </c>
      <c r="K25" s="15">
        <f>MIN(100, MAX(0, (F25 + G25)/2 * 100))</f>
        <v/>
      </c>
      <c r="L25" s="15">
        <f>IF(H25=1, 80, IF(H25=-1, 20, 50)) + IF(J25&gt;0.6, (J25-0.6)*50, 0)</f>
        <v/>
      </c>
    </row>
    <row r="26">
      <c r="A26" s="12">
        <f>'02_Market_Inputs'!A26</f>
        <v/>
      </c>
      <c r="B26" s="12">
        <f>'02_Market_Inputs'!B26</f>
        <v/>
      </c>
      <c r="C26" s="12" t="inlineStr">
        <is>
          <t>xgboost</t>
        </is>
      </c>
      <c r="D26" s="24" t="n">
        <v>8</v>
      </c>
      <c r="E26" s="24" t="n">
        <v>104</v>
      </c>
      <c r="F26" s="10" t="n">
        <v>0.481</v>
      </c>
      <c r="G26" s="34" t="n">
        <v>0.453</v>
      </c>
      <c r="H26" s="12" t="n">
        <v>1</v>
      </c>
      <c r="I26" s="12" t="inlineStr">
        <is>
          <t>UP</t>
        </is>
      </c>
      <c r="J26" s="10" t="n">
        <v>0.59</v>
      </c>
      <c r="K26" s="11">
        <f>MIN(100, MAX(0, (F26 + G26)/2 * 100))</f>
        <v/>
      </c>
      <c r="L26" s="11">
        <f>IF(H26=1, 80, IF(H26=-1, 20, 50)) + IF(J26&gt;0.6, (J26-0.6)*50, 0)</f>
        <v/>
      </c>
    </row>
    <row r="27">
      <c r="A27" s="16">
        <f>'02_Market_Inputs'!A27</f>
        <v/>
      </c>
      <c r="B27" s="16">
        <f>'02_Market_Inputs'!B27</f>
        <v/>
      </c>
      <c r="C27" s="16" t="inlineStr">
        <is>
          <t>xgboost</t>
        </is>
      </c>
      <c r="D27" s="23" t="n">
        <v>8</v>
      </c>
      <c r="E27" s="23" t="n">
        <v>104</v>
      </c>
      <c r="F27" s="14" t="n">
        <v>0.439</v>
      </c>
      <c r="G27" s="33" t="n">
        <v>0.402</v>
      </c>
      <c r="H27" s="16" t="n">
        <v>1</v>
      </c>
      <c r="I27" s="16" t="inlineStr">
        <is>
          <t>UP</t>
        </is>
      </c>
      <c r="J27" s="14" t="n">
        <v>0.53</v>
      </c>
      <c r="K27" s="15">
        <f>MIN(100, MAX(0, (F27 + G27)/2 * 100))</f>
        <v/>
      </c>
      <c r="L27" s="15">
        <f>IF(H27=1, 80, IF(H27=-1, 20, 50)) + IF(J27&gt;0.6, (J27-0.6)*50, 0)</f>
        <v/>
      </c>
    </row>
    <row r="28">
      <c r="A28" s="12">
        <f>'02_Market_Inputs'!A28</f>
        <v/>
      </c>
      <c r="B28" s="12">
        <f>'02_Market_Inputs'!B28</f>
        <v/>
      </c>
      <c r="C28" s="12" t="inlineStr">
        <is>
          <t>xgboost</t>
        </is>
      </c>
      <c r="D28" s="24" t="n">
        <v>8</v>
      </c>
      <c r="E28" s="24" t="n">
        <v>104</v>
      </c>
      <c r="F28" s="10" t="n">
        <v>0.425</v>
      </c>
      <c r="G28" s="34" t="n">
        <v>0.369</v>
      </c>
      <c r="H28" s="12" t="n">
        <v>-1</v>
      </c>
      <c r="I28" s="12" t="inlineStr">
        <is>
          <t>DOWN</t>
        </is>
      </c>
      <c r="J28" s="10" t="n">
        <v>0.5</v>
      </c>
      <c r="K28" s="11">
        <f>MIN(100, MAX(0, (F28 + G28)/2 * 100))</f>
        <v/>
      </c>
      <c r="L28" s="11">
        <f>IF(H28=1, 80, IF(H28=-1, 20, 50)) + IF(J28&gt;0.6, (J28-0.6)*50, 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5" customWidth="1" min="2" max="2"/>
    <col width="25" customWidth="1" min="3" max="3"/>
    <col width="23" customWidth="1" min="4" max="4"/>
    <col width="28" customWidth="1" min="5" max="5"/>
    <col width="62" customWidth="1" min="6" max="6"/>
  </cols>
  <sheetData>
    <row r="1">
      <c r="A1" s="1" t="inlineStr">
        <is>
          <t>VN-INDEX QUANTITATIVE MODEL — FEATURE IMPORTANCE RANKINGS (MACHINE LEARNING)</t>
        </is>
      </c>
    </row>
    <row r="2">
      <c r="A2" s="2" t="inlineStr">
        <is>
          <t>XGBoost Gain Feature Importance extracted across Walk-Forward training cycles</t>
        </is>
      </c>
    </row>
    <row r="3"/>
    <row r="4">
      <c r="A4" s="7" t="inlineStr">
        <is>
          <t>1. TOP 15 MOST INFLUENTIAL FEATURES (LATEST QUARTER: 2026-Q4)</t>
        </is>
      </c>
    </row>
    <row r="5">
      <c r="A5" s="8" t="inlineStr">
        <is>
          <t>Rank</t>
        </is>
      </c>
      <c r="B5" s="8" t="inlineStr">
        <is>
          <t>Feature Name</t>
        </is>
      </c>
      <c r="C5" s="8" t="inlineStr">
        <is>
          <t>Feature Category</t>
        </is>
      </c>
      <c r="D5" s="8" t="inlineStr">
        <is>
          <t>Gain Importance (%)</t>
        </is>
      </c>
      <c r="E5" s="8" t="inlineStr">
        <is>
          <t>Cumulative Importance (%)</t>
        </is>
      </c>
      <c r="F5" s="8" t="inlineStr">
        <is>
          <t>Economic Description</t>
        </is>
      </c>
    </row>
    <row r="6">
      <c r="A6" s="12" t="n">
        <v>1</v>
      </c>
      <c r="B6" s="9" t="inlineStr">
        <is>
          <t>ema_20</t>
        </is>
      </c>
      <c r="C6" s="9" t="inlineStr">
        <is>
          <t>Technical / Trend</t>
        </is>
      </c>
      <c r="D6" s="35" t="n">
        <v>0.02178040146827698</v>
      </c>
      <c r="E6" s="35">
        <f>SUM(D$6:D6)</f>
        <v/>
      </c>
      <c r="F6" s="9" t="inlineStr">
        <is>
          <t>20-day Exponential Moving Average (short-term trend proxy)</t>
        </is>
      </c>
    </row>
    <row r="7">
      <c r="A7" s="16" t="n">
        <v>2</v>
      </c>
      <c r="B7" s="13" t="inlineStr">
        <is>
          <t>macd_line</t>
        </is>
      </c>
      <c r="C7" s="13" t="inlineStr">
        <is>
          <t>Technical / Momentum</t>
        </is>
      </c>
      <c r="D7" s="36" t="n">
        <v>0.02076428011059761</v>
      </c>
      <c r="E7" s="36">
        <f>SUM(D$6:D7)</f>
        <v/>
      </c>
      <c r="F7" s="13" t="inlineStr">
        <is>
          <t>Moving Average Convergence Divergence line (momentum pulse)</t>
        </is>
      </c>
    </row>
    <row r="8">
      <c r="A8" s="12" t="n">
        <v>3</v>
      </c>
      <c r="B8" s="9" t="inlineStr">
        <is>
          <t>etf_flow_q_zscore</t>
        </is>
      </c>
      <c r="C8" s="9" t="inlineStr">
        <is>
          <t>Market Structure</t>
        </is>
      </c>
      <c r="D8" s="35" t="n">
        <v>0.01783575303852558</v>
      </c>
      <c r="E8" s="35">
        <f>SUM(D$6:D8)</f>
        <v/>
      </c>
      <c r="F8" s="9" t="inlineStr">
        <is>
          <t>Normalized quarterly ETF foreign net capital flow Z-score</t>
        </is>
      </c>
    </row>
    <row r="9">
      <c r="A9" s="16" t="n">
        <v>4</v>
      </c>
      <c r="B9" s="13" t="inlineStr">
        <is>
          <t>bb_mid</t>
        </is>
      </c>
      <c r="C9" s="13" t="inlineStr">
        <is>
          <t>Technical / Volatility</t>
        </is>
      </c>
      <c r="D9" s="36" t="n">
        <v>0.01772940717637539</v>
      </c>
      <c r="E9" s="36">
        <f>SUM(D$6:D9)</f>
        <v/>
      </c>
      <c r="F9" s="13" t="inlineStr">
        <is>
          <t>Bollinger Bands middle line (20-day SMA baseline)</t>
        </is>
      </c>
    </row>
    <row r="10">
      <c r="A10" s="12" t="n">
        <v>5</v>
      </c>
      <c r="B10" s="9" t="inlineStr">
        <is>
          <t>us10y_30d_change</t>
        </is>
      </c>
      <c r="C10" s="9" t="inlineStr">
        <is>
          <t>Global / Intermarket</t>
        </is>
      </c>
      <c r="D10" s="35" t="n">
        <v>0.01733604446053505</v>
      </c>
      <c r="E10" s="35">
        <f>SUM(D$6:D10)</f>
        <v/>
      </c>
      <c r="F10" s="9" t="inlineStr">
        <is>
          <t>30-day change in US 10-Year Treasury Yield</t>
        </is>
      </c>
    </row>
    <row r="11">
      <c r="A11" s="16" t="n">
        <v>6</v>
      </c>
      <c r="B11" s="13" t="inlineStr">
        <is>
          <t>usd_vnd_zscore_lag1</t>
        </is>
      </c>
      <c r="C11" s="13" t="inlineStr">
        <is>
          <t>Technical / Model</t>
        </is>
      </c>
      <c r="D11" s="36" t="n">
        <v>0.0167862419039011</v>
      </c>
      <c r="E11" s="36">
        <f>SUM(D$6:D11)</f>
        <v/>
      </c>
      <c r="F11" s="13" t="inlineStr">
        <is>
          <t>Quantitative auxiliary feature</t>
        </is>
      </c>
    </row>
    <row r="12">
      <c r="A12" s="12" t="n">
        <v>7</v>
      </c>
      <c r="B12" s="9" t="inlineStr">
        <is>
          <t>us10y_zscore_1y</t>
        </is>
      </c>
      <c r="C12" s="9" t="inlineStr">
        <is>
          <t>Technical / Model</t>
        </is>
      </c>
      <c r="D12" s="35" t="n">
        <v>0.01557330787181854</v>
      </c>
      <c r="E12" s="35">
        <f>SUM(D$6:D12)</f>
        <v/>
      </c>
      <c r="F12" s="9" t="inlineStr">
        <is>
          <t>Quantitative auxiliary feature</t>
        </is>
      </c>
    </row>
    <row r="13">
      <c r="A13" s="16" t="n">
        <v>8</v>
      </c>
      <c r="B13" s="13" t="inlineStr">
        <is>
          <t>oil_n_shock_days_ytd</t>
        </is>
      </c>
      <c r="C13" s="13" t="inlineStr">
        <is>
          <t>Technical / Model</t>
        </is>
      </c>
      <c r="D13" s="36" t="n">
        <v>0.01539521757513285</v>
      </c>
      <c r="E13" s="36">
        <f>SUM(D$6:D13)</f>
        <v/>
      </c>
      <c r="F13" s="13" t="inlineStr">
        <is>
          <t>Quantitative auxiliary feature</t>
        </is>
      </c>
    </row>
    <row r="14">
      <c r="A14" s="12" t="n">
        <v>9</v>
      </c>
      <c r="B14" s="9" t="inlineStr">
        <is>
          <t>etf_flow_q_zscore_live</t>
        </is>
      </c>
      <c r="C14" s="9" t="inlineStr">
        <is>
          <t>Technical / Model</t>
        </is>
      </c>
      <c r="D14" s="35" t="n">
        <v>0.01488733943551779</v>
      </c>
      <c r="E14" s="35">
        <f>SUM(D$6:D14)</f>
        <v/>
      </c>
      <c r="F14" s="9" t="inlineStr">
        <is>
          <t>Quantitative auxiliary feature</t>
        </is>
      </c>
    </row>
    <row r="15">
      <c r="A15" s="16" t="n">
        <v>10</v>
      </c>
      <c r="B15" s="13" t="inlineStr">
        <is>
          <t>dxy_zscore_60d</t>
        </is>
      </c>
      <c r="C15" s="13" t="inlineStr">
        <is>
          <t>Technical / Model</t>
        </is>
      </c>
      <c r="D15" s="36" t="n">
        <v>0.01360253803431988</v>
      </c>
      <c r="E15" s="36">
        <f>SUM(D$6:D15)</f>
        <v/>
      </c>
      <c r="F15" s="13" t="inlineStr">
        <is>
          <t>Quantitative auxiliary feature</t>
        </is>
      </c>
    </row>
    <row r="16">
      <c r="A16" s="12" t="n">
        <v>11</v>
      </c>
      <c r="B16" s="9" t="inlineStr">
        <is>
          <t>bb_lower</t>
        </is>
      </c>
      <c r="C16" s="9" t="inlineStr">
        <is>
          <t>Technical / Model</t>
        </is>
      </c>
      <c r="D16" s="35" t="n">
        <v>0.0134799899533391</v>
      </c>
      <c r="E16" s="35">
        <f>SUM(D$6:D16)</f>
        <v/>
      </c>
      <c r="F16" s="9" t="inlineStr">
        <is>
          <t>Quantitative auxiliary feature</t>
        </is>
      </c>
    </row>
    <row r="17">
      <c r="A17" s="16" t="n">
        <v>12</v>
      </c>
      <c r="B17" s="13" t="inlineStr">
        <is>
          <t>ex_vingroup_pe</t>
        </is>
      </c>
      <c r="C17" s="13" t="inlineStr">
        <is>
          <t>Technical / Model</t>
        </is>
      </c>
      <c r="D17" s="36" t="n">
        <v>0.01324111688882113</v>
      </c>
      <c r="E17" s="36">
        <f>SUM(D$6:D17)</f>
        <v/>
      </c>
      <c r="F17" s="13" t="inlineStr">
        <is>
          <t>Quantitative auxiliary feature</t>
        </is>
      </c>
    </row>
    <row r="18">
      <c r="A18" s="12" t="n">
        <v>13</v>
      </c>
      <c r="B18" s="9" t="inlineStr">
        <is>
          <t>nff_ex_etf_q_ytd</t>
        </is>
      </c>
      <c r="C18" s="9" t="inlineStr">
        <is>
          <t>Technical / Model</t>
        </is>
      </c>
      <c r="D18" s="35" t="n">
        <v>0.01247525215148926</v>
      </c>
      <c r="E18" s="35">
        <f>SUM(D$6:D18)</f>
        <v/>
      </c>
      <c r="F18" s="9" t="inlineStr">
        <is>
          <t>Quantitative auxiliary feature</t>
        </is>
      </c>
    </row>
    <row r="19">
      <c r="A19" s="16" t="n">
        <v>14</v>
      </c>
      <c r="B19" s="13" t="inlineStr">
        <is>
          <t>nff_ex_etf_rolling60d</t>
        </is>
      </c>
      <c r="C19" s="13" t="inlineStr">
        <is>
          <t>Technical / Model</t>
        </is>
      </c>
      <c r="D19" s="36" t="n">
        <v>0.01242704410105944</v>
      </c>
      <c r="E19" s="36">
        <f>SUM(D$6:D19)</f>
        <v/>
      </c>
      <c r="F19" s="13" t="inlineStr">
        <is>
          <t>Quantitative auxiliary feature</t>
        </is>
      </c>
    </row>
    <row r="20">
      <c r="A20" s="12" t="n">
        <v>15</v>
      </c>
      <c r="B20" s="9" t="inlineStr">
        <is>
          <t>rvol_10d</t>
        </is>
      </c>
      <c r="C20" s="9" t="inlineStr">
        <is>
          <t>Technical / Model</t>
        </is>
      </c>
      <c r="D20" s="35" t="n">
        <v>0.01225554849952459</v>
      </c>
      <c r="E20" s="35">
        <f>SUM(D$6:D20)</f>
        <v/>
      </c>
      <c r="F20" s="9" t="inlineStr">
        <is>
          <t>Quantitative auxiliary feature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1" workbookViewId="0">
      <selection activeCell="A1" sqref="A1"/>
    </sheetView>
  </sheetViews>
  <sheetFormatPr baseColWidth="8" defaultRowHeight="15"/>
  <cols>
    <col width="106" customWidth="1" min="1" max="1"/>
    <col width="23" customWidth="1" min="2" max="2"/>
    <col width="31" customWidth="1" min="3" max="3"/>
    <col width="26" customWidth="1" min="4" max="4"/>
    <col width="26" customWidth="1" min="5" max="5"/>
    <col width="29" customWidth="1" min="6" max="6"/>
    <col width="32" customWidth="1" min="7" max="7"/>
    <col width="25" customWidth="1" min="8" max="8"/>
    <col width="23" customWidth="1" min="9" max="9"/>
    <col width="25" customWidth="1" min="10" max="10"/>
    <col width="17" customWidth="1" min="11" max="11"/>
    <col width="17" customWidth="1" min="12" max="12"/>
    <col width="21" customWidth="1" min="13" max="13"/>
    <col width="21" customWidth="1" min="14" max="14"/>
    <col width="22" customWidth="1" min="15" max="15"/>
  </cols>
  <sheetData>
    <row r="1">
      <c r="A1" s="1" t="inlineStr">
        <is>
          <t>VN-INDEX QUANTITATIVE MODEL — STRATEGY BACKTEST &amp; SIGNAL EFFICACY (2021-2026)</t>
        </is>
      </c>
    </row>
    <row r="2">
      <c r="A2" s="2" t="inlineStr">
        <is>
          <t>Dynamic asset allocation simulation driven by Calibrated Action Signal vs VN-Index Buy &amp; Hold Benchmark</t>
        </is>
      </c>
    </row>
    <row r="3"/>
    <row r="4">
      <c r="A4" s="8" t="inlineStr">
        <is>
          <t>Quarter</t>
        </is>
      </c>
      <c r="B4" s="8" t="inlineStr">
        <is>
          <t>VN-Index Close</t>
        </is>
      </c>
      <c r="C4" s="8" t="inlineStr">
        <is>
          <t>VN-Index Forward Return (1Q)</t>
        </is>
      </c>
      <c r="D4" s="8" t="inlineStr">
        <is>
          <t>Calibrated Action Label</t>
        </is>
      </c>
      <c r="E4" s="8" t="inlineStr">
        <is>
          <t>Model Equity Weight (%)</t>
        </is>
      </c>
      <c r="F4" s="8" t="inlineStr">
        <is>
          <t>Model Cash/Bond Weight (%)</t>
        </is>
      </c>
      <c r="G4" s="8" t="inlineStr">
        <is>
          <t>Cash/Bond Quarterly Yield (%)</t>
        </is>
      </c>
      <c r="H4" s="8" t="inlineStr">
        <is>
          <t>Model Portfolio Return</t>
        </is>
      </c>
      <c r="I4" s="8" t="inlineStr">
        <is>
          <t>Model Cumulative NAV</t>
        </is>
      </c>
      <c r="J4" s="8" t="inlineStr">
        <is>
          <t>VN-Index Benchmark NAV</t>
        </is>
      </c>
      <c r="K4" s="8" t="inlineStr">
        <is>
          <t>Model Peak NAV</t>
        </is>
      </c>
      <c r="L4" s="8" t="inlineStr">
        <is>
          <t>Model Drawdown</t>
        </is>
      </c>
      <c r="M4" s="8" t="inlineStr">
        <is>
          <t>Benchmark Peak NAV</t>
        </is>
      </c>
      <c r="N4" s="8" t="inlineStr">
        <is>
          <t>Benchmark Drawdown</t>
        </is>
      </c>
      <c r="O4" s="8" t="inlineStr">
        <is>
          <t>Direction Hit Match</t>
        </is>
      </c>
    </row>
    <row r="5">
      <c r="A5" s="16">
        <f>'02_Market_Inputs'!A5</f>
        <v/>
      </c>
      <c r="B5" s="25">
        <f>'02_Market_Inputs'!C5</f>
        <v/>
      </c>
      <c r="C5" s="14">
        <f>IF(OR(ISBLANK(B6), ISBLANK(B5)), 0, (B6/B5) - 1)</f>
        <v/>
      </c>
      <c r="D5" s="16">
        <f>'05_Composite_Calibration'!K5</f>
        <v/>
      </c>
      <c r="E5" s="14">
        <f>IF(D5="BUY", '01_Model_Config'!$F$16, IF(D5="ACCUMULATE", '01_Model_Config'!$F$17, IF(D5="HOLD", '01_Model_Config'!$F$18, IF(D5="REDUCE", '01_Model_Config'!$F$19, '01_Model_Config'!$F$20))))</f>
        <v/>
      </c>
      <c r="F5" s="14">
        <f>1 - E5</f>
        <v/>
      </c>
      <c r="G5" s="14">
        <f>(1 + '02_Market_Inputs'!D5/100)^(0.25) - 1</f>
        <v/>
      </c>
      <c r="H5" s="14">
        <f>E5 * C5 + F5 * G5</f>
        <v/>
      </c>
      <c r="I5" s="30">
        <f>100.0 * (1 + H5)</f>
        <v/>
      </c>
      <c r="J5" s="30">
        <f>100.0 * (1 + C5)</f>
        <v/>
      </c>
      <c r="K5" s="15">
        <f>MAX($I$5:I5)</f>
        <v/>
      </c>
      <c r="L5" s="14">
        <f>(I5 - K5) / K5</f>
        <v/>
      </c>
      <c r="M5" s="15">
        <f>MAX($J$5:J5)</f>
        <v/>
      </c>
      <c r="N5" s="14">
        <f>(J5 - M5) / M5</f>
        <v/>
      </c>
      <c r="O5" s="26">
        <f>IF(OR(AND(D5="BUY", C5&gt;0), AND(D5="ACCUMULATE", C5&gt;0), AND(D5="HOLD", ABS(C5)&lt;0.05), AND(D5="REDUCE", C5&lt;0), AND(D5="SELL", C5&lt;0)), 1, 0)</f>
        <v/>
      </c>
    </row>
    <row r="6">
      <c r="A6" s="12">
        <f>'02_Market_Inputs'!A6</f>
        <v/>
      </c>
      <c r="B6" s="27">
        <f>'02_Market_Inputs'!C6</f>
        <v/>
      </c>
      <c r="C6" s="10">
        <f>IF(OR(ISBLANK(B7), ISBLANK(B6)), 0, (B7/B6) - 1)</f>
        <v/>
      </c>
      <c r="D6" s="12">
        <f>'05_Composite_Calibration'!K6</f>
        <v/>
      </c>
      <c r="E6" s="10">
        <f>IF(D6="BUY", '01_Model_Config'!$F$16, IF(D6="ACCUMULATE", '01_Model_Config'!$F$17, IF(D6="HOLD", '01_Model_Config'!$F$18, IF(D6="REDUCE", '01_Model_Config'!$F$19, '01_Model_Config'!$F$20))))</f>
        <v/>
      </c>
      <c r="F6" s="10">
        <f>1 - E6</f>
        <v/>
      </c>
      <c r="G6" s="10">
        <f>(1 + '02_Market_Inputs'!D6/100)^(0.25) - 1</f>
        <v/>
      </c>
      <c r="H6" s="10">
        <f>E6 * C6 + F6 * G6</f>
        <v/>
      </c>
      <c r="I6" s="30">
        <f>I5 * (1 + H6)</f>
        <v/>
      </c>
      <c r="J6" s="30">
        <f>J5 * (1 + C6)</f>
        <v/>
      </c>
      <c r="K6" s="11">
        <f>MAX($I$5:I6)</f>
        <v/>
      </c>
      <c r="L6" s="10">
        <f>(I6 - K6) / K6</f>
        <v/>
      </c>
      <c r="M6" s="11">
        <f>MAX($J$5:J6)</f>
        <v/>
      </c>
      <c r="N6" s="10">
        <f>(J6 - M6) / M6</f>
        <v/>
      </c>
      <c r="O6" s="29">
        <f>IF(OR(AND(D6="BUY", C6&gt;0), AND(D6="ACCUMULATE", C6&gt;0), AND(D6="HOLD", ABS(C6)&lt;0.05), AND(D6="REDUCE", C6&lt;0), AND(D6="SELL", C6&lt;0)), 1, 0)</f>
        <v/>
      </c>
    </row>
    <row r="7">
      <c r="A7" s="16">
        <f>'02_Market_Inputs'!A7</f>
        <v/>
      </c>
      <c r="B7" s="25">
        <f>'02_Market_Inputs'!C7</f>
        <v/>
      </c>
      <c r="C7" s="14">
        <f>IF(OR(ISBLANK(B8), ISBLANK(B7)), 0, (B8/B7) - 1)</f>
        <v/>
      </c>
      <c r="D7" s="16">
        <f>'05_Composite_Calibration'!K7</f>
        <v/>
      </c>
      <c r="E7" s="14">
        <f>IF(D7="BUY", '01_Model_Config'!$F$16, IF(D7="ACCUMULATE", '01_Model_Config'!$F$17, IF(D7="HOLD", '01_Model_Config'!$F$18, IF(D7="REDUCE", '01_Model_Config'!$F$19, '01_Model_Config'!$F$20))))</f>
        <v/>
      </c>
      <c r="F7" s="14">
        <f>1 - E7</f>
        <v/>
      </c>
      <c r="G7" s="14">
        <f>(1 + '02_Market_Inputs'!D7/100)^(0.25) - 1</f>
        <v/>
      </c>
      <c r="H7" s="14">
        <f>E7 * C7 + F7 * G7</f>
        <v/>
      </c>
      <c r="I7" s="30">
        <f>I6 * (1 + H7)</f>
        <v/>
      </c>
      <c r="J7" s="30">
        <f>J6 * (1 + C7)</f>
        <v/>
      </c>
      <c r="K7" s="15">
        <f>MAX($I$5:I7)</f>
        <v/>
      </c>
      <c r="L7" s="14">
        <f>(I7 - K7) / K7</f>
        <v/>
      </c>
      <c r="M7" s="15">
        <f>MAX($J$5:J7)</f>
        <v/>
      </c>
      <c r="N7" s="14">
        <f>(J7 - M7) / M7</f>
        <v/>
      </c>
      <c r="O7" s="26">
        <f>IF(OR(AND(D7="BUY", C7&gt;0), AND(D7="ACCUMULATE", C7&gt;0), AND(D7="HOLD", ABS(C7)&lt;0.05), AND(D7="REDUCE", C7&lt;0), AND(D7="SELL", C7&lt;0)), 1, 0)</f>
        <v/>
      </c>
    </row>
    <row r="8">
      <c r="A8" s="12">
        <f>'02_Market_Inputs'!A8</f>
        <v/>
      </c>
      <c r="B8" s="27">
        <f>'02_Market_Inputs'!C8</f>
        <v/>
      </c>
      <c r="C8" s="10">
        <f>IF(OR(ISBLANK(B9), ISBLANK(B8)), 0, (B9/B8) - 1)</f>
        <v/>
      </c>
      <c r="D8" s="12">
        <f>'05_Composite_Calibration'!K8</f>
        <v/>
      </c>
      <c r="E8" s="10">
        <f>IF(D8="BUY", '01_Model_Config'!$F$16, IF(D8="ACCUMULATE", '01_Model_Config'!$F$17, IF(D8="HOLD", '01_Model_Config'!$F$18, IF(D8="REDUCE", '01_Model_Config'!$F$19, '01_Model_Config'!$F$20))))</f>
        <v/>
      </c>
      <c r="F8" s="10">
        <f>1 - E8</f>
        <v/>
      </c>
      <c r="G8" s="10">
        <f>(1 + '02_Market_Inputs'!D8/100)^(0.25) - 1</f>
        <v/>
      </c>
      <c r="H8" s="10">
        <f>E8 * C8 + F8 * G8</f>
        <v/>
      </c>
      <c r="I8" s="30">
        <f>I7 * (1 + H8)</f>
        <v/>
      </c>
      <c r="J8" s="30">
        <f>J7 * (1 + C8)</f>
        <v/>
      </c>
      <c r="K8" s="11">
        <f>MAX($I$5:I8)</f>
        <v/>
      </c>
      <c r="L8" s="10">
        <f>(I8 - K8) / K8</f>
        <v/>
      </c>
      <c r="M8" s="11">
        <f>MAX($J$5:J8)</f>
        <v/>
      </c>
      <c r="N8" s="10">
        <f>(J8 - M8) / M8</f>
        <v/>
      </c>
      <c r="O8" s="29">
        <f>IF(OR(AND(D8="BUY", C8&gt;0), AND(D8="ACCUMULATE", C8&gt;0), AND(D8="HOLD", ABS(C8)&lt;0.05), AND(D8="REDUCE", C8&lt;0), AND(D8="SELL", C8&lt;0)), 1, 0)</f>
        <v/>
      </c>
    </row>
    <row r="9">
      <c r="A9" s="16">
        <f>'02_Market_Inputs'!A9</f>
        <v/>
      </c>
      <c r="B9" s="25">
        <f>'02_Market_Inputs'!C9</f>
        <v/>
      </c>
      <c r="C9" s="14">
        <f>IF(OR(ISBLANK(B10), ISBLANK(B9)), 0, (B10/B9) - 1)</f>
        <v/>
      </c>
      <c r="D9" s="16">
        <f>'05_Composite_Calibration'!K9</f>
        <v/>
      </c>
      <c r="E9" s="14">
        <f>IF(D9="BUY", '01_Model_Config'!$F$16, IF(D9="ACCUMULATE", '01_Model_Config'!$F$17, IF(D9="HOLD", '01_Model_Config'!$F$18, IF(D9="REDUCE", '01_Model_Config'!$F$19, '01_Model_Config'!$F$20))))</f>
        <v/>
      </c>
      <c r="F9" s="14">
        <f>1 - E9</f>
        <v/>
      </c>
      <c r="G9" s="14">
        <f>(1 + '02_Market_Inputs'!D9/100)^(0.25) - 1</f>
        <v/>
      </c>
      <c r="H9" s="14">
        <f>E9 * C9 + F9 * G9</f>
        <v/>
      </c>
      <c r="I9" s="30">
        <f>I8 * (1 + H9)</f>
        <v/>
      </c>
      <c r="J9" s="30">
        <f>J8 * (1 + C9)</f>
        <v/>
      </c>
      <c r="K9" s="15">
        <f>MAX($I$5:I9)</f>
        <v/>
      </c>
      <c r="L9" s="14">
        <f>(I9 - K9) / K9</f>
        <v/>
      </c>
      <c r="M9" s="15">
        <f>MAX($J$5:J9)</f>
        <v/>
      </c>
      <c r="N9" s="14">
        <f>(J9 - M9) / M9</f>
        <v/>
      </c>
      <c r="O9" s="26">
        <f>IF(OR(AND(D9="BUY", C9&gt;0), AND(D9="ACCUMULATE", C9&gt;0), AND(D9="HOLD", ABS(C9)&lt;0.05), AND(D9="REDUCE", C9&lt;0), AND(D9="SELL", C9&lt;0)), 1, 0)</f>
        <v/>
      </c>
    </row>
    <row r="10">
      <c r="A10" s="12">
        <f>'02_Market_Inputs'!A10</f>
        <v/>
      </c>
      <c r="B10" s="27">
        <f>'02_Market_Inputs'!C10</f>
        <v/>
      </c>
      <c r="C10" s="10">
        <f>IF(OR(ISBLANK(B11), ISBLANK(B10)), 0, (B11/B10) - 1)</f>
        <v/>
      </c>
      <c r="D10" s="12">
        <f>'05_Composite_Calibration'!K10</f>
        <v/>
      </c>
      <c r="E10" s="10">
        <f>IF(D10="BUY", '01_Model_Config'!$F$16, IF(D10="ACCUMULATE", '01_Model_Config'!$F$17, IF(D10="HOLD", '01_Model_Config'!$F$18, IF(D10="REDUCE", '01_Model_Config'!$F$19, '01_Model_Config'!$F$20))))</f>
        <v/>
      </c>
      <c r="F10" s="10">
        <f>1 - E10</f>
        <v/>
      </c>
      <c r="G10" s="10">
        <f>(1 + '02_Market_Inputs'!D10/100)^(0.25) - 1</f>
        <v/>
      </c>
      <c r="H10" s="10">
        <f>E10 * C10 + F10 * G10</f>
        <v/>
      </c>
      <c r="I10" s="30">
        <f>I9 * (1 + H10)</f>
        <v/>
      </c>
      <c r="J10" s="30">
        <f>J9 * (1 + C10)</f>
        <v/>
      </c>
      <c r="K10" s="11">
        <f>MAX($I$5:I10)</f>
        <v/>
      </c>
      <c r="L10" s="10">
        <f>(I10 - K10) / K10</f>
        <v/>
      </c>
      <c r="M10" s="11">
        <f>MAX($J$5:J10)</f>
        <v/>
      </c>
      <c r="N10" s="10">
        <f>(J10 - M10) / M10</f>
        <v/>
      </c>
      <c r="O10" s="29">
        <f>IF(OR(AND(D10="BUY", C10&gt;0), AND(D10="ACCUMULATE", C10&gt;0), AND(D10="HOLD", ABS(C10)&lt;0.05), AND(D10="REDUCE", C10&lt;0), AND(D10="SELL", C10&lt;0)), 1, 0)</f>
        <v/>
      </c>
    </row>
    <row r="11">
      <c r="A11" s="16">
        <f>'02_Market_Inputs'!A11</f>
        <v/>
      </c>
      <c r="B11" s="25">
        <f>'02_Market_Inputs'!C11</f>
        <v/>
      </c>
      <c r="C11" s="14">
        <f>IF(OR(ISBLANK(B12), ISBLANK(B11)), 0, (B12/B11) - 1)</f>
        <v/>
      </c>
      <c r="D11" s="16">
        <f>'05_Composite_Calibration'!K11</f>
        <v/>
      </c>
      <c r="E11" s="14">
        <f>IF(D11="BUY", '01_Model_Config'!$F$16, IF(D11="ACCUMULATE", '01_Model_Config'!$F$17, IF(D11="HOLD", '01_Model_Config'!$F$18, IF(D11="REDUCE", '01_Model_Config'!$F$19, '01_Model_Config'!$F$20))))</f>
        <v/>
      </c>
      <c r="F11" s="14">
        <f>1 - E11</f>
        <v/>
      </c>
      <c r="G11" s="14">
        <f>(1 + '02_Market_Inputs'!D11/100)^(0.25) - 1</f>
        <v/>
      </c>
      <c r="H11" s="14">
        <f>E11 * C11 + F11 * G11</f>
        <v/>
      </c>
      <c r="I11" s="30">
        <f>I10 * (1 + H11)</f>
        <v/>
      </c>
      <c r="J11" s="30">
        <f>J10 * (1 + C11)</f>
        <v/>
      </c>
      <c r="K11" s="15">
        <f>MAX($I$5:I11)</f>
        <v/>
      </c>
      <c r="L11" s="14">
        <f>(I11 - K11) / K11</f>
        <v/>
      </c>
      <c r="M11" s="15">
        <f>MAX($J$5:J11)</f>
        <v/>
      </c>
      <c r="N11" s="14">
        <f>(J11 - M11) / M11</f>
        <v/>
      </c>
      <c r="O11" s="26">
        <f>IF(OR(AND(D11="BUY", C11&gt;0), AND(D11="ACCUMULATE", C11&gt;0), AND(D11="HOLD", ABS(C11)&lt;0.05), AND(D11="REDUCE", C11&lt;0), AND(D11="SELL", C11&lt;0)), 1, 0)</f>
        <v/>
      </c>
    </row>
    <row r="12">
      <c r="A12" s="12">
        <f>'02_Market_Inputs'!A12</f>
        <v/>
      </c>
      <c r="B12" s="27">
        <f>'02_Market_Inputs'!C12</f>
        <v/>
      </c>
      <c r="C12" s="10">
        <f>IF(OR(ISBLANK(B13), ISBLANK(B12)), 0, (B13/B12) - 1)</f>
        <v/>
      </c>
      <c r="D12" s="12">
        <f>'05_Composite_Calibration'!K12</f>
        <v/>
      </c>
      <c r="E12" s="10">
        <f>IF(D12="BUY", '01_Model_Config'!$F$16, IF(D12="ACCUMULATE", '01_Model_Config'!$F$17, IF(D12="HOLD", '01_Model_Config'!$F$18, IF(D12="REDUCE", '01_Model_Config'!$F$19, '01_Model_Config'!$F$20))))</f>
        <v/>
      </c>
      <c r="F12" s="10">
        <f>1 - E12</f>
        <v/>
      </c>
      <c r="G12" s="10">
        <f>(1 + '02_Market_Inputs'!D12/100)^(0.25) - 1</f>
        <v/>
      </c>
      <c r="H12" s="10">
        <f>E12 * C12 + F12 * G12</f>
        <v/>
      </c>
      <c r="I12" s="30">
        <f>I11 * (1 + H12)</f>
        <v/>
      </c>
      <c r="J12" s="30">
        <f>J11 * (1 + C12)</f>
        <v/>
      </c>
      <c r="K12" s="11">
        <f>MAX($I$5:I12)</f>
        <v/>
      </c>
      <c r="L12" s="10">
        <f>(I12 - K12) / K12</f>
        <v/>
      </c>
      <c r="M12" s="11">
        <f>MAX($J$5:J12)</f>
        <v/>
      </c>
      <c r="N12" s="10">
        <f>(J12 - M12) / M12</f>
        <v/>
      </c>
      <c r="O12" s="29">
        <f>IF(OR(AND(D12="BUY", C12&gt;0), AND(D12="ACCUMULATE", C12&gt;0), AND(D12="HOLD", ABS(C12)&lt;0.05), AND(D12="REDUCE", C12&lt;0), AND(D12="SELL", C12&lt;0)), 1, 0)</f>
        <v/>
      </c>
    </row>
    <row r="13">
      <c r="A13" s="16">
        <f>'02_Market_Inputs'!A13</f>
        <v/>
      </c>
      <c r="B13" s="25">
        <f>'02_Market_Inputs'!C13</f>
        <v/>
      </c>
      <c r="C13" s="14">
        <f>IF(OR(ISBLANK(B14), ISBLANK(B13)), 0, (B14/B13) - 1)</f>
        <v/>
      </c>
      <c r="D13" s="16">
        <f>'05_Composite_Calibration'!K13</f>
        <v/>
      </c>
      <c r="E13" s="14">
        <f>IF(D13="BUY", '01_Model_Config'!$F$16, IF(D13="ACCUMULATE", '01_Model_Config'!$F$17, IF(D13="HOLD", '01_Model_Config'!$F$18, IF(D13="REDUCE", '01_Model_Config'!$F$19, '01_Model_Config'!$F$20))))</f>
        <v/>
      </c>
      <c r="F13" s="14">
        <f>1 - E13</f>
        <v/>
      </c>
      <c r="G13" s="14">
        <f>(1 + '02_Market_Inputs'!D13/100)^(0.25) - 1</f>
        <v/>
      </c>
      <c r="H13" s="14">
        <f>E13 * C13 + F13 * G13</f>
        <v/>
      </c>
      <c r="I13" s="30">
        <f>I12 * (1 + H13)</f>
        <v/>
      </c>
      <c r="J13" s="30">
        <f>J12 * (1 + C13)</f>
        <v/>
      </c>
      <c r="K13" s="15">
        <f>MAX($I$5:I13)</f>
        <v/>
      </c>
      <c r="L13" s="14">
        <f>(I13 - K13) / K13</f>
        <v/>
      </c>
      <c r="M13" s="15">
        <f>MAX($J$5:J13)</f>
        <v/>
      </c>
      <c r="N13" s="14">
        <f>(J13 - M13) / M13</f>
        <v/>
      </c>
      <c r="O13" s="26">
        <f>IF(OR(AND(D13="BUY", C13&gt;0), AND(D13="ACCUMULATE", C13&gt;0), AND(D13="HOLD", ABS(C13)&lt;0.05), AND(D13="REDUCE", C13&lt;0), AND(D13="SELL", C13&lt;0)), 1, 0)</f>
        <v/>
      </c>
    </row>
    <row r="14">
      <c r="A14" s="12">
        <f>'02_Market_Inputs'!A14</f>
        <v/>
      </c>
      <c r="B14" s="27">
        <f>'02_Market_Inputs'!C14</f>
        <v/>
      </c>
      <c r="C14" s="10">
        <f>IF(OR(ISBLANK(B15), ISBLANK(B14)), 0, (B15/B14) - 1)</f>
        <v/>
      </c>
      <c r="D14" s="12">
        <f>'05_Composite_Calibration'!K14</f>
        <v/>
      </c>
      <c r="E14" s="10">
        <f>IF(D14="BUY", '01_Model_Config'!$F$16, IF(D14="ACCUMULATE", '01_Model_Config'!$F$17, IF(D14="HOLD", '01_Model_Config'!$F$18, IF(D14="REDUCE", '01_Model_Config'!$F$19, '01_Model_Config'!$F$20))))</f>
        <v/>
      </c>
      <c r="F14" s="10">
        <f>1 - E14</f>
        <v/>
      </c>
      <c r="G14" s="10">
        <f>(1 + '02_Market_Inputs'!D14/100)^(0.25) - 1</f>
        <v/>
      </c>
      <c r="H14" s="10">
        <f>E14 * C14 + F14 * G14</f>
        <v/>
      </c>
      <c r="I14" s="30">
        <f>I13 * (1 + H14)</f>
        <v/>
      </c>
      <c r="J14" s="30">
        <f>J13 * (1 + C14)</f>
        <v/>
      </c>
      <c r="K14" s="11">
        <f>MAX($I$5:I14)</f>
        <v/>
      </c>
      <c r="L14" s="10">
        <f>(I14 - K14) / K14</f>
        <v/>
      </c>
      <c r="M14" s="11">
        <f>MAX($J$5:J14)</f>
        <v/>
      </c>
      <c r="N14" s="10">
        <f>(J14 - M14) / M14</f>
        <v/>
      </c>
      <c r="O14" s="29">
        <f>IF(OR(AND(D14="BUY", C14&gt;0), AND(D14="ACCUMULATE", C14&gt;0), AND(D14="HOLD", ABS(C14)&lt;0.05), AND(D14="REDUCE", C14&lt;0), AND(D14="SELL", C14&lt;0)), 1, 0)</f>
        <v/>
      </c>
    </row>
    <row r="15">
      <c r="A15" s="16">
        <f>'02_Market_Inputs'!A15</f>
        <v/>
      </c>
      <c r="B15" s="25">
        <f>'02_Market_Inputs'!C15</f>
        <v/>
      </c>
      <c r="C15" s="14">
        <f>IF(OR(ISBLANK(B16), ISBLANK(B15)), 0, (B16/B15) - 1)</f>
        <v/>
      </c>
      <c r="D15" s="16">
        <f>'05_Composite_Calibration'!K15</f>
        <v/>
      </c>
      <c r="E15" s="14">
        <f>IF(D15="BUY", '01_Model_Config'!$F$16, IF(D15="ACCUMULATE", '01_Model_Config'!$F$17, IF(D15="HOLD", '01_Model_Config'!$F$18, IF(D15="REDUCE", '01_Model_Config'!$F$19, '01_Model_Config'!$F$20))))</f>
        <v/>
      </c>
      <c r="F15" s="14">
        <f>1 - E15</f>
        <v/>
      </c>
      <c r="G15" s="14">
        <f>(1 + '02_Market_Inputs'!D15/100)^(0.25) - 1</f>
        <v/>
      </c>
      <c r="H15" s="14">
        <f>E15 * C15 + F15 * G15</f>
        <v/>
      </c>
      <c r="I15" s="30">
        <f>I14 * (1 + H15)</f>
        <v/>
      </c>
      <c r="J15" s="30">
        <f>J14 * (1 + C15)</f>
        <v/>
      </c>
      <c r="K15" s="15">
        <f>MAX($I$5:I15)</f>
        <v/>
      </c>
      <c r="L15" s="14">
        <f>(I15 - K15) / K15</f>
        <v/>
      </c>
      <c r="M15" s="15">
        <f>MAX($J$5:J15)</f>
        <v/>
      </c>
      <c r="N15" s="14">
        <f>(J15 - M15) / M15</f>
        <v/>
      </c>
      <c r="O15" s="26">
        <f>IF(OR(AND(D15="BUY", C15&gt;0), AND(D15="ACCUMULATE", C15&gt;0), AND(D15="HOLD", ABS(C15)&lt;0.05), AND(D15="REDUCE", C15&lt;0), AND(D15="SELL", C15&lt;0)), 1, 0)</f>
        <v/>
      </c>
    </row>
    <row r="16">
      <c r="A16" s="12">
        <f>'02_Market_Inputs'!A16</f>
        <v/>
      </c>
      <c r="B16" s="27">
        <f>'02_Market_Inputs'!C16</f>
        <v/>
      </c>
      <c r="C16" s="10">
        <f>IF(OR(ISBLANK(B17), ISBLANK(B16)), 0, (B17/B16) - 1)</f>
        <v/>
      </c>
      <c r="D16" s="12">
        <f>'05_Composite_Calibration'!K16</f>
        <v/>
      </c>
      <c r="E16" s="10">
        <f>IF(D16="BUY", '01_Model_Config'!$F$16, IF(D16="ACCUMULATE", '01_Model_Config'!$F$17, IF(D16="HOLD", '01_Model_Config'!$F$18, IF(D16="REDUCE", '01_Model_Config'!$F$19, '01_Model_Config'!$F$20))))</f>
        <v/>
      </c>
      <c r="F16" s="10">
        <f>1 - E16</f>
        <v/>
      </c>
      <c r="G16" s="10">
        <f>(1 + '02_Market_Inputs'!D16/100)^(0.25) - 1</f>
        <v/>
      </c>
      <c r="H16" s="10">
        <f>E16 * C16 + F16 * G16</f>
        <v/>
      </c>
      <c r="I16" s="30">
        <f>I15 * (1 + H16)</f>
        <v/>
      </c>
      <c r="J16" s="30">
        <f>J15 * (1 + C16)</f>
        <v/>
      </c>
      <c r="K16" s="11">
        <f>MAX($I$5:I16)</f>
        <v/>
      </c>
      <c r="L16" s="10">
        <f>(I16 - K16) / K16</f>
        <v/>
      </c>
      <c r="M16" s="11">
        <f>MAX($J$5:J16)</f>
        <v/>
      </c>
      <c r="N16" s="10">
        <f>(J16 - M16) / M16</f>
        <v/>
      </c>
      <c r="O16" s="29">
        <f>IF(OR(AND(D16="BUY", C16&gt;0), AND(D16="ACCUMULATE", C16&gt;0), AND(D16="HOLD", ABS(C16)&lt;0.05), AND(D16="REDUCE", C16&lt;0), AND(D16="SELL", C16&lt;0)), 1, 0)</f>
        <v/>
      </c>
    </row>
    <row r="17">
      <c r="A17" s="16">
        <f>'02_Market_Inputs'!A17</f>
        <v/>
      </c>
      <c r="B17" s="25">
        <f>'02_Market_Inputs'!C17</f>
        <v/>
      </c>
      <c r="C17" s="14">
        <f>IF(OR(ISBLANK(B18), ISBLANK(B17)), 0, (B18/B17) - 1)</f>
        <v/>
      </c>
      <c r="D17" s="16">
        <f>'05_Composite_Calibration'!K17</f>
        <v/>
      </c>
      <c r="E17" s="14">
        <f>IF(D17="BUY", '01_Model_Config'!$F$16, IF(D17="ACCUMULATE", '01_Model_Config'!$F$17, IF(D17="HOLD", '01_Model_Config'!$F$18, IF(D17="REDUCE", '01_Model_Config'!$F$19, '01_Model_Config'!$F$20))))</f>
        <v/>
      </c>
      <c r="F17" s="14">
        <f>1 - E17</f>
        <v/>
      </c>
      <c r="G17" s="14">
        <f>(1 + '02_Market_Inputs'!D17/100)^(0.25) - 1</f>
        <v/>
      </c>
      <c r="H17" s="14">
        <f>E17 * C17 + F17 * G17</f>
        <v/>
      </c>
      <c r="I17" s="30">
        <f>I16 * (1 + H17)</f>
        <v/>
      </c>
      <c r="J17" s="30">
        <f>J16 * (1 + C17)</f>
        <v/>
      </c>
      <c r="K17" s="15">
        <f>MAX($I$5:I17)</f>
        <v/>
      </c>
      <c r="L17" s="14">
        <f>(I17 - K17) / K17</f>
        <v/>
      </c>
      <c r="M17" s="15">
        <f>MAX($J$5:J17)</f>
        <v/>
      </c>
      <c r="N17" s="14">
        <f>(J17 - M17) / M17</f>
        <v/>
      </c>
      <c r="O17" s="26">
        <f>IF(OR(AND(D17="BUY", C17&gt;0), AND(D17="ACCUMULATE", C17&gt;0), AND(D17="HOLD", ABS(C17)&lt;0.05), AND(D17="REDUCE", C17&lt;0), AND(D17="SELL", C17&lt;0)), 1, 0)</f>
        <v/>
      </c>
    </row>
    <row r="18">
      <c r="A18" s="12">
        <f>'02_Market_Inputs'!A18</f>
        <v/>
      </c>
      <c r="B18" s="27">
        <f>'02_Market_Inputs'!C18</f>
        <v/>
      </c>
      <c r="C18" s="10">
        <f>IF(OR(ISBLANK(B19), ISBLANK(B18)), 0, (B19/B18) - 1)</f>
        <v/>
      </c>
      <c r="D18" s="12">
        <f>'05_Composite_Calibration'!K18</f>
        <v/>
      </c>
      <c r="E18" s="10">
        <f>IF(D18="BUY", '01_Model_Config'!$F$16, IF(D18="ACCUMULATE", '01_Model_Config'!$F$17, IF(D18="HOLD", '01_Model_Config'!$F$18, IF(D18="REDUCE", '01_Model_Config'!$F$19, '01_Model_Config'!$F$20))))</f>
        <v/>
      </c>
      <c r="F18" s="10">
        <f>1 - E18</f>
        <v/>
      </c>
      <c r="G18" s="10">
        <f>(1 + '02_Market_Inputs'!D18/100)^(0.25) - 1</f>
        <v/>
      </c>
      <c r="H18" s="10">
        <f>E18 * C18 + F18 * G18</f>
        <v/>
      </c>
      <c r="I18" s="30">
        <f>I17 * (1 + H18)</f>
        <v/>
      </c>
      <c r="J18" s="30">
        <f>J17 * (1 + C18)</f>
        <v/>
      </c>
      <c r="K18" s="11">
        <f>MAX($I$5:I18)</f>
        <v/>
      </c>
      <c r="L18" s="10">
        <f>(I18 - K18) / K18</f>
        <v/>
      </c>
      <c r="M18" s="11">
        <f>MAX($J$5:J18)</f>
        <v/>
      </c>
      <c r="N18" s="10">
        <f>(J18 - M18) / M18</f>
        <v/>
      </c>
      <c r="O18" s="29">
        <f>IF(OR(AND(D18="BUY", C18&gt;0), AND(D18="ACCUMULATE", C18&gt;0), AND(D18="HOLD", ABS(C18)&lt;0.05), AND(D18="REDUCE", C18&lt;0), AND(D18="SELL", C18&lt;0)), 1, 0)</f>
        <v/>
      </c>
    </row>
    <row r="19">
      <c r="A19" s="16">
        <f>'02_Market_Inputs'!A19</f>
        <v/>
      </c>
      <c r="B19" s="25">
        <f>'02_Market_Inputs'!C19</f>
        <v/>
      </c>
      <c r="C19" s="14">
        <f>IF(OR(ISBLANK(B20), ISBLANK(B19)), 0, (B20/B19) - 1)</f>
        <v/>
      </c>
      <c r="D19" s="16">
        <f>'05_Composite_Calibration'!K19</f>
        <v/>
      </c>
      <c r="E19" s="14">
        <f>IF(D19="BUY", '01_Model_Config'!$F$16, IF(D19="ACCUMULATE", '01_Model_Config'!$F$17, IF(D19="HOLD", '01_Model_Config'!$F$18, IF(D19="REDUCE", '01_Model_Config'!$F$19, '01_Model_Config'!$F$20))))</f>
        <v/>
      </c>
      <c r="F19" s="14">
        <f>1 - E19</f>
        <v/>
      </c>
      <c r="G19" s="14">
        <f>(1 + '02_Market_Inputs'!D19/100)^(0.25) - 1</f>
        <v/>
      </c>
      <c r="H19" s="14">
        <f>E19 * C19 + F19 * G19</f>
        <v/>
      </c>
      <c r="I19" s="30">
        <f>I18 * (1 + H19)</f>
        <v/>
      </c>
      <c r="J19" s="30">
        <f>J18 * (1 + C19)</f>
        <v/>
      </c>
      <c r="K19" s="15">
        <f>MAX($I$5:I19)</f>
        <v/>
      </c>
      <c r="L19" s="14">
        <f>(I19 - K19) / K19</f>
        <v/>
      </c>
      <c r="M19" s="15">
        <f>MAX($J$5:J19)</f>
        <v/>
      </c>
      <c r="N19" s="14">
        <f>(J19 - M19) / M19</f>
        <v/>
      </c>
      <c r="O19" s="26">
        <f>IF(OR(AND(D19="BUY", C19&gt;0), AND(D19="ACCUMULATE", C19&gt;0), AND(D19="HOLD", ABS(C19)&lt;0.05), AND(D19="REDUCE", C19&lt;0), AND(D19="SELL", C19&lt;0)), 1, 0)</f>
        <v/>
      </c>
    </row>
    <row r="20">
      <c r="A20" s="12">
        <f>'02_Market_Inputs'!A20</f>
        <v/>
      </c>
      <c r="B20" s="27">
        <f>'02_Market_Inputs'!C20</f>
        <v/>
      </c>
      <c r="C20" s="10">
        <f>IF(OR(ISBLANK(B21), ISBLANK(B20)), 0, (B21/B20) - 1)</f>
        <v/>
      </c>
      <c r="D20" s="12">
        <f>'05_Composite_Calibration'!K20</f>
        <v/>
      </c>
      <c r="E20" s="10">
        <f>IF(D20="BUY", '01_Model_Config'!$F$16, IF(D20="ACCUMULATE", '01_Model_Config'!$F$17, IF(D20="HOLD", '01_Model_Config'!$F$18, IF(D20="REDUCE", '01_Model_Config'!$F$19, '01_Model_Config'!$F$20))))</f>
        <v/>
      </c>
      <c r="F20" s="10">
        <f>1 - E20</f>
        <v/>
      </c>
      <c r="G20" s="10">
        <f>(1 + '02_Market_Inputs'!D20/100)^(0.25) - 1</f>
        <v/>
      </c>
      <c r="H20" s="10">
        <f>E20 * C20 + F20 * G20</f>
        <v/>
      </c>
      <c r="I20" s="30">
        <f>I19 * (1 + H20)</f>
        <v/>
      </c>
      <c r="J20" s="30">
        <f>J19 * (1 + C20)</f>
        <v/>
      </c>
      <c r="K20" s="11">
        <f>MAX($I$5:I20)</f>
        <v/>
      </c>
      <c r="L20" s="10">
        <f>(I20 - K20) / K20</f>
        <v/>
      </c>
      <c r="M20" s="11">
        <f>MAX($J$5:J20)</f>
        <v/>
      </c>
      <c r="N20" s="10">
        <f>(J20 - M20) / M20</f>
        <v/>
      </c>
      <c r="O20" s="29">
        <f>IF(OR(AND(D20="BUY", C20&gt;0), AND(D20="ACCUMULATE", C20&gt;0), AND(D20="HOLD", ABS(C20)&lt;0.05), AND(D20="REDUCE", C20&lt;0), AND(D20="SELL", C20&lt;0)), 1, 0)</f>
        <v/>
      </c>
    </row>
    <row r="21">
      <c r="A21" s="16">
        <f>'02_Market_Inputs'!A21</f>
        <v/>
      </c>
      <c r="B21" s="25">
        <f>'02_Market_Inputs'!C21</f>
        <v/>
      </c>
      <c r="C21" s="14">
        <f>IF(OR(ISBLANK(B22), ISBLANK(B21)), 0, (B22/B21) - 1)</f>
        <v/>
      </c>
      <c r="D21" s="16">
        <f>'05_Composite_Calibration'!K21</f>
        <v/>
      </c>
      <c r="E21" s="14">
        <f>IF(D21="BUY", '01_Model_Config'!$F$16, IF(D21="ACCUMULATE", '01_Model_Config'!$F$17, IF(D21="HOLD", '01_Model_Config'!$F$18, IF(D21="REDUCE", '01_Model_Config'!$F$19, '01_Model_Config'!$F$20))))</f>
        <v/>
      </c>
      <c r="F21" s="14">
        <f>1 - E21</f>
        <v/>
      </c>
      <c r="G21" s="14">
        <f>(1 + '02_Market_Inputs'!D21/100)^(0.25) - 1</f>
        <v/>
      </c>
      <c r="H21" s="14">
        <f>E21 * C21 + F21 * G21</f>
        <v/>
      </c>
      <c r="I21" s="30">
        <f>I20 * (1 + H21)</f>
        <v/>
      </c>
      <c r="J21" s="30">
        <f>J20 * (1 + C21)</f>
        <v/>
      </c>
      <c r="K21" s="15">
        <f>MAX($I$5:I21)</f>
        <v/>
      </c>
      <c r="L21" s="14">
        <f>(I21 - K21) / K21</f>
        <v/>
      </c>
      <c r="M21" s="15">
        <f>MAX($J$5:J21)</f>
        <v/>
      </c>
      <c r="N21" s="14">
        <f>(J21 - M21) / M21</f>
        <v/>
      </c>
      <c r="O21" s="26">
        <f>IF(OR(AND(D21="BUY", C21&gt;0), AND(D21="ACCUMULATE", C21&gt;0), AND(D21="HOLD", ABS(C21)&lt;0.05), AND(D21="REDUCE", C21&lt;0), AND(D21="SELL", C21&lt;0)), 1, 0)</f>
        <v/>
      </c>
    </row>
    <row r="22">
      <c r="A22" s="12">
        <f>'02_Market_Inputs'!A22</f>
        <v/>
      </c>
      <c r="B22" s="27">
        <f>'02_Market_Inputs'!C22</f>
        <v/>
      </c>
      <c r="C22" s="10">
        <f>IF(OR(ISBLANK(B23), ISBLANK(B22)), 0, (B23/B22) - 1)</f>
        <v/>
      </c>
      <c r="D22" s="12">
        <f>'05_Composite_Calibration'!K22</f>
        <v/>
      </c>
      <c r="E22" s="10">
        <f>IF(D22="BUY", '01_Model_Config'!$F$16, IF(D22="ACCUMULATE", '01_Model_Config'!$F$17, IF(D22="HOLD", '01_Model_Config'!$F$18, IF(D22="REDUCE", '01_Model_Config'!$F$19, '01_Model_Config'!$F$20))))</f>
        <v/>
      </c>
      <c r="F22" s="10">
        <f>1 - E22</f>
        <v/>
      </c>
      <c r="G22" s="10">
        <f>(1 + '02_Market_Inputs'!D22/100)^(0.25) - 1</f>
        <v/>
      </c>
      <c r="H22" s="10">
        <f>E22 * C22 + F22 * G22</f>
        <v/>
      </c>
      <c r="I22" s="30">
        <f>I21 * (1 + H22)</f>
        <v/>
      </c>
      <c r="J22" s="30">
        <f>J21 * (1 + C22)</f>
        <v/>
      </c>
      <c r="K22" s="11">
        <f>MAX($I$5:I22)</f>
        <v/>
      </c>
      <c r="L22" s="10">
        <f>(I22 - K22) / K22</f>
        <v/>
      </c>
      <c r="M22" s="11">
        <f>MAX($J$5:J22)</f>
        <v/>
      </c>
      <c r="N22" s="10">
        <f>(J22 - M22) / M22</f>
        <v/>
      </c>
      <c r="O22" s="29">
        <f>IF(OR(AND(D22="BUY", C22&gt;0), AND(D22="ACCUMULATE", C22&gt;0), AND(D22="HOLD", ABS(C22)&lt;0.05), AND(D22="REDUCE", C22&lt;0), AND(D22="SELL", C22&lt;0)), 1, 0)</f>
        <v/>
      </c>
    </row>
    <row r="23">
      <c r="A23" s="16">
        <f>'02_Market_Inputs'!A23</f>
        <v/>
      </c>
      <c r="B23" s="25">
        <f>'02_Market_Inputs'!C23</f>
        <v/>
      </c>
      <c r="C23" s="14">
        <f>IF(OR(ISBLANK(B24), ISBLANK(B23)), 0, (B24/B23) - 1)</f>
        <v/>
      </c>
      <c r="D23" s="16">
        <f>'05_Composite_Calibration'!K23</f>
        <v/>
      </c>
      <c r="E23" s="14">
        <f>IF(D23="BUY", '01_Model_Config'!$F$16, IF(D23="ACCUMULATE", '01_Model_Config'!$F$17, IF(D23="HOLD", '01_Model_Config'!$F$18, IF(D23="REDUCE", '01_Model_Config'!$F$19, '01_Model_Config'!$F$20))))</f>
        <v/>
      </c>
      <c r="F23" s="14">
        <f>1 - E23</f>
        <v/>
      </c>
      <c r="G23" s="14">
        <f>(1 + '02_Market_Inputs'!D23/100)^(0.25) - 1</f>
        <v/>
      </c>
      <c r="H23" s="14">
        <f>E23 * C23 + F23 * G23</f>
        <v/>
      </c>
      <c r="I23" s="30">
        <f>I22 * (1 + H23)</f>
        <v/>
      </c>
      <c r="J23" s="30">
        <f>J22 * (1 + C23)</f>
        <v/>
      </c>
      <c r="K23" s="15">
        <f>MAX($I$5:I23)</f>
        <v/>
      </c>
      <c r="L23" s="14">
        <f>(I23 - K23) / K23</f>
        <v/>
      </c>
      <c r="M23" s="15">
        <f>MAX($J$5:J23)</f>
        <v/>
      </c>
      <c r="N23" s="14">
        <f>(J23 - M23) / M23</f>
        <v/>
      </c>
      <c r="O23" s="26">
        <f>IF(OR(AND(D23="BUY", C23&gt;0), AND(D23="ACCUMULATE", C23&gt;0), AND(D23="HOLD", ABS(C23)&lt;0.05), AND(D23="REDUCE", C23&lt;0), AND(D23="SELL", C23&lt;0)), 1, 0)</f>
        <v/>
      </c>
    </row>
    <row r="24">
      <c r="A24" s="12">
        <f>'02_Market_Inputs'!A24</f>
        <v/>
      </c>
      <c r="B24" s="27">
        <f>'02_Market_Inputs'!C24</f>
        <v/>
      </c>
      <c r="C24" s="10">
        <f>IF(OR(ISBLANK(B25), ISBLANK(B24)), 0, (B25/B24) - 1)</f>
        <v/>
      </c>
      <c r="D24" s="12">
        <f>'05_Composite_Calibration'!K24</f>
        <v/>
      </c>
      <c r="E24" s="10">
        <f>IF(D24="BUY", '01_Model_Config'!$F$16, IF(D24="ACCUMULATE", '01_Model_Config'!$F$17, IF(D24="HOLD", '01_Model_Config'!$F$18, IF(D24="REDUCE", '01_Model_Config'!$F$19, '01_Model_Config'!$F$20))))</f>
        <v/>
      </c>
      <c r="F24" s="10">
        <f>1 - E24</f>
        <v/>
      </c>
      <c r="G24" s="10">
        <f>(1 + '02_Market_Inputs'!D24/100)^(0.25) - 1</f>
        <v/>
      </c>
      <c r="H24" s="10">
        <f>E24 * C24 + F24 * G24</f>
        <v/>
      </c>
      <c r="I24" s="30">
        <f>I23 * (1 + H24)</f>
        <v/>
      </c>
      <c r="J24" s="30">
        <f>J23 * (1 + C24)</f>
        <v/>
      </c>
      <c r="K24" s="11">
        <f>MAX($I$5:I24)</f>
        <v/>
      </c>
      <c r="L24" s="10">
        <f>(I24 - K24) / K24</f>
        <v/>
      </c>
      <c r="M24" s="11">
        <f>MAX($J$5:J24)</f>
        <v/>
      </c>
      <c r="N24" s="10">
        <f>(J24 - M24) / M24</f>
        <v/>
      </c>
      <c r="O24" s="29">
        <f>IF(OR(AND(D24="BUY", C24&gt;0), AND(D24="ACCUMULATE", C24&gt;0), AND(D24="HOLD", ABS(C24)&lt;0.05), AND(D24="REDUCE", C24&lt;0), AND(D24="SELL", C24&lt;0)), 1, 0)</f>
        <v/>
      </c>
    </row>
    <row r="25">
      <c r="A25" s="16">
        <f>'02_Market_Inputs'!A25</f>
        <v/>
      </c>
      <c r="B25" s="25">
        <f>'02_Market_Inputs'!C25</f>
        <v/>
      </c>
      <c r="C25" s="14">
        <f>IF(OR(ISBLANK(B26), ISBLANK(B25)), 0, (B26/B25) - 1)</f>
        <v/>
      </c>
      <c r="D25" s="16">
        <f>'05_Composite_Calibration'!K25</f>
        <v/>
      </c>
      <c r="E25" s="14">
        <f>IF(D25="BUY", '01_Model_Config'!$F$16, IF(D25="ACCUMULATE", '01_Model_Config'!$F$17, IF(D25="HOLD", '01_Model_Config'!$F$18, IF(D25="REDUCE", '01_Model_Config'!$F$19, '01_Model_Config'!$F$20))))</f>
        <v/>
      </c>
      <c r="F25" s="14">
        <f>1 - E25</f>
        <v/>
      </c>
      <c r="G25" s="14">
        <f>(1 + '02_Market_Inputs'!D25/100)^(0.25) - 1</f>
        <v/>
      </c>
      <c r="H25" s="14">
        <f>E25 * C25 + F25 * G25</f>
        <v/>
      </c>
      <c r="I25" s="30">
        <f>I24 * (1 + H25)</f>
        <v/>
      </c>
      <c r="J25" s="30">
        <f>J24 * (1 + C25)</f>
        <v/>
      </c>
      <c r="K25" s="15">
        <f>MAX($I$5:I25)</f>
        <v/>
      </c>
      <c r="L25" s="14">
        <f>(I25 - K25) / K25</f>
        <v/>
      </c>
      <c r="M25" s="15">
        <f>MAX($J$5:J25)</f>
        <v/>
      </c>
      <c r="N25" s="14">
        <f>(J25 - M25) / M25</f>
        <v/>
      </c>
      <c r="O25" s="26">
        <f>IF(OR(AND(D25="BUY", C25&gt;0), AND(D25="ACCUMULATE", C25&gt;0), AND(D25="HOLD", ABS(C25)&lt;0.05), AND(D25="REDUCE", C25&lt;0), AND(D25="SELL", C25&lt;0)), 1, 0)</f>
        <v/>
      </c>
    </row>
    <row r="26">
      <c r="A26" s="12">
        <f>'02_Market_Inputs'!A26</f>
        <v/>
      </c>
      <c r="B26" s="27">
        <f>'02_Market_Inputs'!C26</f>
        <v/>
      </c>
      <c r="C26" s="10">
        <f>IF(OR(ISBLANK(B27), ISBLANK(B26)), 0, (B27/B26) - 1)</f>
        <v/>
      </c>
      <c r="D26" s="12">
        <f>'05_Composite_Calibration'!K26</f>
        <v/>
      </c>
      <c r="E26" s="10">
        <f>IF(D26="BUY", '01_Model_Config'!$F$16, IF(D26="ACCUMULATE", '01_Model_Config'!$F$17, IF(D26="HOLD", '01_Model_Config'!$F$18, IF(D26="REDUCE", '01_Model_Config'!$F$19, '01_Model_Config'!$F$20))))</f>
        <v/>
      </c>
      <c r="F26" s="10">
        <f>1 - E26</f>
        <v/>
      </c>
      <c r="G26" s="10">
        <f>(1 + '02_Market_Inputs'!D26/100)^(0.25) - 1</f>
        <v/>
      </c>
      <c r="H26" s="10">
        <f>E26 * C26 + F26 * G26</f>
        <v/>
      </c>
      <c r="I26" s="30">
        <f>I25 * (1 + H26)</f>
        <v/>
      </c>
      <c r="J26" s="30">
        <f>J25 * (1 + C26)</f>
        <v/>
      </c>
      <c r="K26" s="11">
        <f>MAX($I$5:I26)</f>
        <v/>
      </c>
      <c r="L26" s="10">
        <f>(I26 - K26) / K26</f>
        <v/>
      </c>
      <c r="M26" s="11">
        <f>MAX($J$5:J26)</f>
        <v/>
      </c>
      <c r="N26" s="10">
        <f>(J26 - M26) / M26</f>
        <v/>
      </c>
      <c r="O26" s="29">
        <f>IF(OR(AND(D26="BUY", C26&gt;0), AND(D26="ACCUMULATE", C26&gt;0), AND(D26="HOLD", ABS(C26)&lt;0.05), AND(D26="REDUCE", C26&lt;0), AND(D26="SELL", C26&lt;0)), 1, 0)</f>
        <v/>
      </c>
    </row>
    <row r="27">
      <c r="A27" s="16">
        <f>'02_Market_Inputs'!A27</f>
        <v/>
      </c>
      <c r="B27" s="25">
        <f>'02_Market_Inputs'!C27</f>
        <v/>
      </c>
      <c r="C27" s="14">
        <f>IF(OR(ISBLANK(B28), ISBLANK(B27)), 0, (B28/B27) - 1)</f>
        <v/>
      </c>
      <c r="D27" s="16">
        <f>'05_Composite_Calibration'!K27</f>
        <v/>
      </c>
      <c r="E27" s="14">
        <f>IF(D27="BUY", '01_Model_Config'!$F$16, IF(D27="ACCUMULATE", '01_Model_Config'!$F$17, IF(D27="HOLD", '01_Model_Config'!$F$18, IF(D27="REDUCE", '01_Model_Config'!$F$19, '01_Model_Config'!$F$20))))</f>
        <v/>
      </c>
      <c r="F27" s="14">
        <f>1 - E27</f>
        <v/>
      </c>
      <c r="G27" s="14">
        <f>(1 + '02_Market_Inputs'!D27/100)^(0.25) - 1</f>
        <v/>
      </c>
      <c r="H27" s="14">
        <f>E27 * C27 + F27 * G27</f>
        <v/>
      </c>
      <c r="I27" s="30">
        <f>I26 * (1 + H27)</f>
        <v/>
      </c>
      <c r="J27" s="30">
        <f>J26 * (1 + C27)</f>
        <v/>
      </c>
      <c r="K27" s="15">
        <f>MAX($I$5:I27)</f>
        <v/>
      </c>
      <c r="L27" s="14">
        <f>(I27 - K27) / K27</f>
        <v/>
      </c>
      <c r="M27" s="15">
        <f>MAX($J$5:J27)</f>
        <v/>
      </c>
      <c r="N27" s="14">
        <f>(J27 - M27) / M27</f>
        <v/>
      </c>
      <c r="O27" s="26">
        <f>IF(OR(AND(D27="BUY", C27&gt;0), AND(D27="ACCUMULATE", C27&gt;0), AND(D27="HOLD", ABS(C27)&lt;0.05), AND(D27="REDUCE", C27&lt;0), AND(D27="SELL", C27&lt;0)), 1, 0)</f>
        <v/>
      </c>
    </row>
    <row r="28">
      <c r="A28" s="12">
        <f>'02_Market_Inputs'!A28</f>
        <v/>
      </c>
      <c r="B28" s="27">
        <f>'02_Market_Inputs'!C28</f>
        <v/>
      </c>
      <c r="C28" s="10">
        <f>0</f>
        <v/>
      </c>
      <c r="D28" s="12">
        <f>'05_Composite_Calibration'!K28</f>
        <v/>
      </c>
      <c r="E28" s="10">
        <f>IF(D28="BUY", '01_Model_Config'!$F$16, IF(D28="ACCUMULATE", '01_Model_Config'!$F$17, IF(D28="HOLD", '01_Model_Config'!$F$18, IF(D28="REDUCE", '01_Model_Config'!$F$19, '01_Model_Config'!$F$20))))</f>
        <v/>
      </c>
      <c r="F28" s="10">
        <f>1 - E28</f>
        <v/>
      </c>
      <c r="G28" s="10">
        <f>(1 + '02_Market_Inputs'!D28/100)^(0.25) - 1</f>
        <v/>
      </c>
      <c r="H28" s="10">
        <f>E28 * C28 + F28 * G28</f>
        <v/>
      </c>
      <c r="I28" s="30">
        <f>I27 * (1 + H28)</f>
        <v/>
      </c>
      <c r="J28" s="30">
        <f>J27 * (1 + C28)</f>
        <v/>
      </c>
      <c r="K28" s="11">
        <f>MAX($I$5:I28)</f>
        <v/>
      </c>
      <c r="L28" s="10">
        <f>(I28 - K28) / K28</f>
        <v/>
      </c>
      <c r="M28" s="11">
        <f>MAX($J$5:J28)</f>
        <v/>
      </c>
      <c r="N28" s="10">
        <f>(J28 - M28) / M28</f>
        <v/>
      </c>
      <c r="O28" s="29">
        <f>IF(OR(AND(D28="BUY", C28&gt;0), AND(D28="ACCUMULATE", C28&gt;0), AND(D28="HOLD", ABS(C28)&lt;0.05), AND(D28="REDUCE", C28&lt;0), AND(D28="SELL", C28&lt;0)), 1, 0)</f>
        <v/>
      </c>
    </row>
    <row r="29"/>
    <row r="30">
      <c r="A30" s="7" t="inlineStr">
        <is>
          <t>OVERALL STRATEGY PERFORMANCE SUMMARY (100% EXCEL FORMULAS)</t>
        </is>
      </c>
    </row>
    <row r="31">
      <c r="A31" s="21" t="inlineStr">
        <is>
          <t>Performance Metric</t>
        </is>
      </c>
      <c r="B31" s="21" t="inlineStr">
        <is>
          <t>Quant Model Strategy</t>
        </is>
      </c>
      <c r="C31" s="21" t="inlineStr">
        <is>
          <t>VN-Index Benchmark</t>
        </is>
      </c>
      <c r="D31" s="21" t="inlineStr">
        <is>
          <t>Spread / Alpha</t>
        </is>
      </c>
      <c r="E31" s="21" t="inlineStr">
        <is>
          <t>Excel Formula Applied</t>
        </is>
      </c>
    </row>
    <row r="32">
      <c r="A32" s="9" t="inlineStr">
        <is>
          <t>Cumulative Total Return</t>
        </is>
      </c>
      <c r="B32" s="37">
        <f>(I28 - 100) / 100</f>
        <v/>
      </c>
      <c r="C32" s="37">
        <f>(J28 - 100) / 100</f>
        <v/>
      </c>
      <c r="D32" s="10">
        <f>B32 - C32</f>
        <v/>
      </c>
      <c r="E32" s="9">
        <f>(NAV_end - NAV_start) / NAV_start</f>
        <v/>
      </c>
    </row>
    <row r="33">
      <c r="A33" s="13" t="inlineStr">
        <is>
          <t>Compound Annual Growth Rate (CAGR)</t>
        </is>
      </c>
      <c r="B33" s="37">
        <f>(I28 / 100)^(4/23) - 1</f>
        <v/>
      </c>
      <c r="C33" s="37">
        <f>(J28 / 100)^(4/23) - 1</f>
        <v/>
      </c>
      <c r="D33" s="14">
        <f>B33 - C33</f>
        <v/>
      </c>
      <c r="E33" s="13">
        <f>(NAV_end / NAV_start)^(4/N_quarters) - 1</f>
        <v/>
      </c>
    </row>
    <row r="34">
      <c r="A34" s="9" t="inlineStr">
        <is>
          <t>Maximum Drawdown (MDD)</t>
        </is>
      </c>
      <c r="B34" s="37">
        <f>MIN(L5:L28)</f>
        <v/>
      </c>
      <c r="C34" s="37">
        <f>MIN(N5:N28)</f>
        <v/>
      </c>
      <c r="D34" s="10">
        <f>B34 - C34</f>
        <v/>
      </c>
      <c r="E34" s="9">
        <f>MIN(Drawdown_Series)</f>
        <v/>
      </c>
    </row>
    <row r="35">
      <c r="A35" s="13" t="inlineStr">
        <is>
          <t>Annualized Volatility (Risk)</t>
        </is>
      </c>
      <c r="B35" s="37">
        <f>STDEV.S(H5:H27) * SQRT(4)</f>
        <v/>
      </c>
      <c r="C35" s="37">
        <f>STDEV.S(C5:C27) * SQRT(4)</f>
        <v/>
      </c>
      <c r="D35" s="14">
        <f>B35 - C35</f>
        <v/>
      </c>
      <c r="E35" s="13">
        <f>STDEV.S(Quarterly_Returns) * SQRT(4)</f>
        <v/>
      </c>
    </row>
    <row r="36">
      <c r="A36" s="9" t="inlineStr">
        <is>
          <t>Sharpe Ratio (Rf = 4.5% p.a.)</t>
        </is>
      </c>
      <c r="B36" s="30">
        <f>(B33 - 0.045) / B35</f>
        <v/>
      </c>
      <c r="C36" s="30">
        <f>(C33 - 0.045) / C35</f>
        <v/>
      </c>
      <c r="D36" s="11">
        <f>B36 - C36</f>
        <v/>
      </c>
      <c r="E36" s="9">
        <f>(CAGR - Rf) / Annualized_Volatility</f>
        <v/>
      </c>
    </row>
    <row r="37">
      <c r="A37" s="13" t="inlineStr">
        <is>
          <t>Spearman Rank Information Coefficient (IC)</t>
        </is>
      </c>
      <c r="B37" s="38">
        <f>CORREL('05_Composite_Calibration'!J5:J27, C5:C27)</f>
        <v/>
      </c>
      <c r="C37" s="39" t="inlineStr">
        <is>
          <t>N/A</t>
        </is>
      </c>
      <c r="D37" s="23" t="inlineStr">
        <is>
          <t>N/A</t>
        </is>
      </c>
      <c r="E37" s="13">
        <f>CORREL(Calibrated_Score_t, Fwd_Return_t)</f>
        <v/>
      </c>
    </row>
    <row r="38">
      <c r="A38" s="9" t="inlineStr">
        <is>
          <t>Directional Hit Rate</t>
        </is>
      </c>
      <c r="B38" s="37">
        <f>AVERAGE(O5:O27)</f>
        <v/>
      </c>
      <c r="C38" s="39" t="inlineStr">
        <is>
          <t>N/A</t>
        </is>
      </c>
      <c r="D38" s="24" t="inlineStr">
        <is>
          <t>N/A</t>
        </is>
      </c>
      <c r="E38" s="9">
        <f>AVERAGE(Hit_Flags)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1" customWidth="1" min="2" max="2"/>
    <col width="36" customWidth="1" min="3" max="3"/>
    <col width="116" customWidth="1" min="4" max="4"/>
    <col width="97" customWidth="1" min="5" max="5"/>
  </cols>
  <sheetData>
    <row r="1">
      <c r="A1" s="1" t="inlineStr">
        <is>
          <t>VN-INDEX QUANTITATIVE MODEL — REAL-DATA AUDIT &amp; TRACEABILITY REGISTER</t>
        </is>
      </c>
    </row>
    <row r="2">
      <c r="A2" s="2" t="inlineStr">
        <is>
          <t>Complete audit trail of real-world datasets backfilled in 09/2026: zero interpolation, 100% reproducible</t>
        </is>
      </c>
    </row>
    <row r="3"/>
    <row r="4">
      <c r="A4" s="8" t="inlineStr">
        <is>
          <t>Data Stream</t>
        </is>
      </c>
      <c r="B4" s="8" t="inlineStr">
        <is>
          <t>Backfill Status</t>
        </is>
      </c>
      <c r="C4" s="8" t="inlineStr">
        <is>
          <t>Previously Missing Quarters</t>
        </is>
      </c>
      <c r="D4" s="8" t="inlineStr">
        <is>
          <t>Methodology &amp; Normalization</t>
        </is>
      </c>
      <c r="E4" s="8" t="inlineStr">
        <is>
          <t>Traceable Source / File Path</t>
        </is>
      </c>
    </row>
    <row r="5">
      <c r="A5" s="13" t="inlineStr">
        <is>
          <t>ADTV Liquidity QoQ (Market Structure)</t>
        </is>
      </c>
      <c r="B5" s="16" t="inlineStr">
        <is>
          <t>COMPLETE (24/24 Quarters)</t>
        </is>
      </c>
      <c r="C5" s="13" t="inlineStr">
        <is>
          <t>All 24 quarters prior to wave 1</t>
        </is>
      </c>
      <c r="D5" s="13" t="inlineStr">
        <is>
          <t>Computed ADTV(Q-1)/ADTV(Q-2)-1 point-in-time from VN-Index OHLCV volume. Score = clip(50 + 100*Δ, 0, 100)</t>
        </is>
      </c>
      <c r="E5" s="13" t="inlineStr">
        <is>
          <t>vnstock VCI OHLCV volume (data/scores/vnindex_quarterly_adtv.json)</t>
        </is>
      </c>
    </row>
    <row r="6">
      <c r="A6" s="9" t="inlineStr">
        <is>
          <t>Vietnam Government Bonds (Macro)</t>
        </is>
      </c>
      <c r="B6" s="12" t="inlineStr">
        <is>
          <t>COMPLETE (24/24 Quarters)</t>
        </is>
      </c>
      <c r="C6" s="9" t="inlineStr">
        <is>
          <t>7 quarters (2021-Q1 -&gt; 2022-Q3)</t>
        </is>
      </c>
      <c r="D6" s="9" t="inlineStr">
        <is>
          <t>Integrated full Nelson-Siegel curve fitted_curve_ns_full.json (2012-present, 3,397 trading days)</t>
        </is>
      </c>
      <c r="E6" s="9" t="inlineStr">
        <is>
          <t>VN_Bond_Yield_pipeline / fitted_curve_ns_full.json</t>
        </is>
      </c>
    </row>
    <row r="7">
      <c r="A7" s="13" t="inlineStr">
        <is>
          <t>Broad Money M2 YoY Growth (Macro)</t>
        </is>
      </c>
      <c r="B7" s="16" t="inlineStr">
        <is>
          <t>COMPLETE (24/24 Quarters)</t>
        </is>
      </c>
      <c r="C7" s="13" t="inlineStr">
        <is>
          <t>All 24 quarters (prev default 50)</t>
        </is>
      </c>
      <c r="D7" s="13" t="inlineStr">
        <is>
          <t>ADB Key Indicators Database (FM2_PTX_PS.VIE, SBV source) 2000-2024 + GSO Q4/2025 (+14.98%)</t>
        </is>
      </c>
      <c r="E7" s="13" t="inlineStr">
        <is>
          <t>data/external/m2_credit_adb_gso.csv (backward merge_asof)</t>
        </is>
      </c>
    </row>
    <row r="8">
      <c r="A8" s="9" t="inlineStr">
        <is>
          <t>P/E, P/B, EYG Z-scores (Valuation)</t>
        </is>
      </c>
      <c r="B8" s="12" t="inlineStr">
        <is>
          <t>COMPLETE (20/24 Quarters)</t>
        </is>
      </c>
      <c r="C8" s="9" t="inlineStr">
        <is>
          <t>6 quarters (2022-Q1 -&gt; 2023-Q2)</t>
        </is>
      </c>
      <c r="D8" s="9" t="inlineStr">
        <is>
          <t>Lowered Z-score min_periods from 2.5Y (630 sessions) to 252 sessions (~1Y) due to free-float starting 2020-12</t>
        </is>
      </c>
      <c r="E8" s="9" t="inlineStr">
        <is>
          <t>HOSE P/E &amp; P/B dataset, EYG wired through df_macro</t>
        </is>
      </c>
    </row>
    <row r="9">
      <c r="A9" s="13" t="inlineStr">
        <is>
          <t>Foreign &amp; ETF Net Capital Flows (Global)</t>
        </is>
      </c>
      <c r="B9" s="16" t="inlineStr">
        <is>
          <t>COMPLETE (24/24 Quarters)</t>
        </is>
      </c>
      <c r="C9" s="13" t="inlineStr">
        <is>
          <t>5 quarters (2021-Q1 -&gt; 2022-Q1)</t>
        </is>
      </c>
      <c r="D9" s="13" t="inlineStr">
        <is>
          <t>Extended VNDirect API fetch back to 2018-08-30; spliced official HOSE market cap for 2018-2020</t>
        </is>
      </c>
      <c r="E9" s="13" t="inlineStr">
        <is>
          <t>VNDirect api-finfo /v4/foreigns (data/scores/vnindex_quarterly_flows.json)</t>
        </is>
      </c>
    </row>
    <row r="10">
      <c r="A10" s="9" t="inlineStr">
        <is>
          <t>P/E &amp; P/B Z-score 4 Quarters 2021</t>
        </is>
      </c>
      <c r="B10" s="12" t="inlineStr">
        <is>
          <t>DELIBERATELY RETAINED AS N/A</t>
        </is>
      </c>
      <c r="C10" s="9" t="inlineStr">
        <is>
          <t>4 quarters in 2021</t>
        </is>
      </c>
      <c r="D10" s="9" t="inlineStr">
        <is>
          <t>Ex-VG series starts ~2020-12, requires 252 sessions -&gt; first valid Z on 2021-12-20. Neutral 50 default maintained</t>
        </is>
      </c>
      <c r="E10" s="9" t="inlineStr">
        <is>
          <t>Quant standard: No unverified interpolation or artificial backfill without genuine source 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2026-09-29T04:40:44Z</dcterms:created>
  <dcterms:modified xsi:type="dcterms:W3CDTF">2026-09-29T04:40:44Z</dcterms:modified>
</cp:coreProperties>
</file>