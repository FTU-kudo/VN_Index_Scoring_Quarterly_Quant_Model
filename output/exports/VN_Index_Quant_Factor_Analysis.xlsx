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Dashboard" sheetId="1" r:id="rId1"/>
    <sheet name="01_Score_History" sheetId="2" r:id="rId2"/>
    <sheet name="02_Factor_Impact" sheetId="3" r:id="rId3"/>
    <sheet name="03_Granger" sheetId="4" r:id="rId4"/>
    <sheet name="04_ML_Validation" sheetId="5" r:id="rId5"/>
    <sheet name="05_Factor_Scores" sheetId="6" r:id="rId6"/>
    <sheet name="06_Signal_Efficacy" sheetId="7" r:id="rId7"/>
    <sheet name="07_Methodology" sheetId="8" r:id="rId8"/>
  </sheets>
  <definedNames>
    <definedName name="_xlnm._FilterDatabase" localSheetId="5" hidden="1">'05_Factor_Scores'!$B$5:$G$31</definedName>
  </definedNames>
  <calcPr calcId="124519" fullCalcOnLoad="1"/>
</workbook>
</file>

<file path=xl/sharedStrings.xml><?xml version="1.0" encoding="utf-8"?>
<sst xmlns="http://schemas.openxmlformats.org/spreadsheetml/2006/main" count="673" uniqueCount="304">
  <si>
    <t>VN-INDEX QUARTERLY QUANT FACTOR WORKBOOK</t>
  </si>
  <si>
    <t>Latest full-model quarter: 2026-Q4  |  Generated at: 2026-09-28 11:09:13  |  Source: output/exports/score_*.json</t>
  </si>
  <si>
    <t>49.4</t>
  </si>
  <si>
    <t>Raw Regime / Label</t>
  </si>
  <si>
    <t>🟡 HOLD (raw composite)</t>
  </si>
  <si>
    <t>CALIBRATED ACTION</t>
  </si>
  <si>
    <t>🟡 HOLD — 34.5</t>
  </si>
  <si>
    <t>Recommended Equity</t>
  </si>
  <si>
    <t>40–60% Equities (calibrated)</t>
  </si>
  <si>
    <t>Percentile Signal</t>
  </si>
  <si>
    <t>REDUCE/SELL</t>
  </si>
  <si>
    <t>Pillar Dispersion</t>
  </si>
  <si>
    <t>HIGH (σ=13.61)</t>
  </si>
  <si>
    <t>Data As-Of</t>
  </si>
  <si>
    <t>2026-09-25</t>
  </si>
  <si>
    <t>Point-in-Time</t>
  </si>
  <si>
    <t>YES</t>
  </si>
  <si>
    <t>PILLAR CONTRIBUTION DECOMPOSITION</t>
  </si>
  <si>
    <t>Pillar</t>
  </si>
  <si>
    <t>Weight</t>
  </si>
  <si>
    <t>Raw Score (0-100)</t>
  </si>
  <si>
    <t>Weighted Contribution</t>
  </si>
  <si>
    <t>% of Total Score</t>
  </si>
  <si>
    <t>Signal</t>
  </si>
  <si>
    <t>Macro &amp; Monetary</t>
  </si>
  <si>
    <t>Neutral</t>
  </si>
  <si>
    <t>Global &amp; Intermarket</t>
  </si>
  <si>
    <t>Bearish</t>
  </si>
  <si>
    <t>Valuation &amp; Leverage</t>
  </si>
  <si>
    <t>Quant Model (MLR/VAR)</t>
  </si>
  <si>
    <t>ML Forecast</t>
  </si>
  <si>
    <t>Market Structure</t>
  </si>
  <si>
    <t>TOTAL COMPOSITE</t>
  </si>
  <si>
    <t>HOLD</t>
  </si>
  <si>
    <t>COMPOSITE SCORE HISTORY vs VN-INDEX</t>
  </si>
  <si>
    <t>Two-tier scores: Total Score = raw composite (reference) | Calibrated Score = action signal (z-score vs prior quarters, point-in-time). Pillar columns are weighted contributions (raw × weight). Fwd Return = VN-Index return of the NEXT quarter (signal evaluation).</t>
  </si>
  <si>
    <t>Quarter</t>
  </si>
  <si>
    <t>Total Score</t>
  </si>
  <si>
    <t>Label (Raw)</t>
  </si>
  <si>
    <t>Calibrated Score</t>
  </si>
  <si>
    <t>Calibrated Label</t>
  </si>
  <si>
    <t>Dispersion</t>
  </si>
  <si>
    <t>VN-Index Close</t>
  </si>
  <si>
    <t>QoQ Return</t>
  </si>
  <si>
    <t>Fwd Return (t+1)</t>
  </si>
  <si>
    <t>2021-Q1</t>
  </si>
  <si>
    <t>MEDIUM</t>
  </si>
  <si>
    <t>N/A</t>
  </si>
  <si>
    <t>2021-Q2</t>
  </si>
  <si>
    <t>2021-Q3</t>
  </si>
  <si>
    <t>2021-Q4</t>
  </si>
  <si>
    <t>2022-Q1</t>
  </si>
  <si>
    <t>BUY/ACCUMULATE</t>
  </si>
  <si>
    <t>LOW</t>
  </si>
  <si>
    <t>2022-Q2</t>
  </si>
  <si>
    <t>SELL</t>
  </si>
  <si>
    <t>2022-Q3</t>
  </si>
  <si>
    <t>REDUCE</t>
  </si>
  <si>
    <t>HIGH</t>
  </si>
  <si>
    <t>2022-Q4</t>
  </si>
  <si>
    <t>2023-Q1</t>
  </si>
  <si>
    <t>2023-Q2</t>
  </si>
  <si>
    <t>2023-Q3</t>
  </si>
  <si>
    <t>ACCUMULATE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</si>
  <si>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</si>
  <si>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</si>
  <si>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</si>
  <si>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</si>
  <si>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</si>
  <si>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</si>
  <si>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</si>
  <si>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</si>
  <si>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</si>
  <si>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</si>
  <si>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</si>
  <si>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</si>
  <si>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</si>
  <si>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FACTOR IMPACT — MULTIPLE LINEAR REGRESSION (Newey-West HAC)</t>
  </si>
  <si>
    <t>Dependent variable: forward VN-Index log-return. Quarter: 2026-Q4. Significance: *** p&lt;0.01, ** p&lt;0.05, * p&lt;0.10.</t>
  </si>
  <si>
    <t>Factor</t>
  </si>
  <si>
    <t>Beta (β)</t>
  </si>
  <si>
    <t>P-value</t>
  </si>
  <si>
    <t>Significance</t>
  </si>
  <si>
    <t>Sign Expected</t>
  </si>
  <si>
    <t>Sign Actual</t>
  </si>
  <si>
    <t>Sign OK</t>
  </si>
  <si>
    <t>|β| Rank</t>
  </si>
  <si>
    <t>Economic Reading</t>
  </si>
  <si>
    <t>delta_dxy</t>
  </si>
  <si>
    <t>**</t>
  </si>
  <si>
    <t>-</t>
  </si>
  <si>
    <t>PASS</t>
  </si>
  <si>
    <t>A rise in delta_dxy is a headwind for next-quarter VN-Index returns (statistically significant, p=0.028).</t>
  </si>
  <si>
    <t>delta_us10y</t>
  </si>
  <si>
    <t>—</t>
  </si>
  <si>
    <t>+</t>
  </si>
  <si>
    <t>FAIL</t>
  </si>
  <si>
    <t>A rise in delta_us10y is supportive of next-quarter VN-Index returns (not significant, p=0.944).</t>
  </si>
  <si>
    <t>delta_usdjpy</t>
  </si>
  <si>
    <t>*</t>
  </si>
  <si>
    <t>A rise in delta_usdjpy is a headwind for next-quarter VN-Index returns (weakly significant, p=0.059).</t>
  </si>
  <si>
    <t>usd_vnd_pct_change</t>
  </si>
  <si>
    <t>?</t>
  </si>
  <si>
    <t>A rise in usd_vnd_pct_change is a headwind for next-quarter VN-Index returns (not significant, p=0.749).</t>
  </si>
  <si>
    <t>rsi_14</t>
  </si>
  <si>
    <t>A rise in rsi_14 is supportive of next-quarter VN-Index returns (statistically significant, p=0.022).</t>
  </si>
  <si>
    <t>macd_hist</t>
  </si>
  <si>
    <t>A rise in macd_hist is a headwind for next-quarter VN-Index returns (not significant, p=0.236).</t>
  </si>
  <si>
    <t>bb_pct</t>
  </si>
  <si>
    <t>A rise in bb_pct is a headwind for next-quarter VN-Index returns (not significant, p=0.880).</t>
  </si>
  <si>
    <t>rvol_20d</t>
  </si>
  <si>
    <t>A rise in rvol_20d is a headwind for next-quarter VN-Index returns (not significant, p=0.378).</t>
  </si>
  <si>
    <t>drawdown_from_peak</t>
  </si>
  <si>
    <t>***</t>
  </si>
  <si>
    <t>A rise in drawdown_from_peak is a headwind for next-quarter VN-Index returns (statistically significant, p=0.001).</t>
  </si>
  <si>
    <t>price_vs_ma200</t>
  </si>
  <si>
    <t>A rise in price_vs_ma200 is supportive of next-quarter VN-Index returns (weakly significant, p=0.089).</t>
  </si>
  <si>
    <t>log_return_lag1</t>
  </si>
  <si>
    <t>A rise in log_return_lag1 is a headwind for next-quarter VN-Index returns (not significant, p=0.228).</t>
  </si>
  <si>
    <t>log_return_lag5</t>
  </si>
  <si>
    <t>A rise in log_return_lag5 is a headwind for next-quarter VN-Index returns (not significant, p=0.863).</t>
  </si>
  <si>
    <t>Sign-check pass rate:</t>
  </si>
  <si>
    <t>1/12 (8%)</t>
  </si>
  <si>
    <t>BETA STABILITY ACROSS QUARTERS (sign consistency = % quarters with same sign as latest)</t>
  </si>
  <si>
    <t>Sign Consistency</t>
  </si>
  <si>
    <t>VAR GRANGER CAUSALITY — WHICH FACTORS LEAD THE VN-INDEX?</t>
  </si>
  <si>
    <t>H0: factor does NOT Granger-cause VNI returns. p &lt; 0.05 → reject H0 → factor has leading power.</t>
  </si>
  <si>
    <t>F-Statistic</t>
  </si>
  <si>
    <t>Granger-causes VNI?</t>
  </si>
  <si>
    <t>Verdict</t>
  </si>
  <si>
    <t>YES — LEADING</t>
  </si>
  <si>
    <t>delta_dxy contains predictive information for future VN-Index returns.</t>
  </si>
  <si>
    <t>delta_vn1y_yield</t>
  </si>
  <si>
    <t>NO</t>
  </si>
  <si>
    <t>No statistical evidence that delta_vn1y_yield leads VN-Index returns.</t>
  </si>
  <si>
    <t>pe_zscore</t>
  </si>
  <si>
    <t>No statistical evidence that pe_zscore leads VN-Index returns.</t>
  </si>
  <si>
    <t>No statistical evidence that delta_us10y leads VN-Index returns.</t>
  </si>
  <si>
    <t>No statistical evidence that delta_usdjpy leads VN-Index returns.</t>
  </si>
  <si>
    <t>MACHINE LEARNING — WALK-FORWARD VALIDATION (no look-ahead bias)</t>
  </si>
  <si>
    <t>Model</t>
  </si>
  <si>
    <t>xgboost</t>
  </si>
  <si>
    <t>Folds</t>
  </si>
  <si>
    <t>8</t>
  </si>
  <si>
    <t>Features</t>
  </si>
  <si>
    <t>104</t>
  </si>
  <si>
    <t>Mean Accuracy</t>
  </si>
  <si>
    <t>Std Accuracy</t>
  </si>
  <si>
    <t>Mean F1 (weighted)</t>
  </si>
  <si>
    <t>Latest Prediction</t>
  </si>
  <si>
    <t>DOWN</t>
  </si>
  <si>
    <t>Prediction Confidence</t>
  </si>
  <si>
    <t>WALK-FORWARD FOLD METRICS (expanding window)</t>
  </si>
  <si>
    <t>Fold</t>
  </si>
  <si>
    <t>Train Size</t>
  </si>
  <si>
    <t>Test Size</t>
  </si>
  <si>
    <t>Accuracy</t>
  </si>
  <si>
    <t>F1 (weighted)</t>
  </si>
  <si>
    <t>Precision</t>
  </si>
  <si>
    <t>TOP FEATURE IMPORTANCE (model-implied factor relevance)</t>
  </si>
  <si>
    <t>Rank</t>
  </si>
  <si>
    <t>Feature</t>
  </si>
  <si>
    <t>Importance</t>
  </si>
  <si>
    <t>ema_20</t>
  </si>
  <si>
    <t>macd_line</t>
  </si>
  <si>
    <t>etf_flow_q_zscore</t>
  </si>
  <si>
    <t>bb_mid</t>
  </si>
  <si>
    <t>us10y_30d_change</t>
  </si>
  <si>
    <t>usd_vnd_zscore_lag1</t>
  </si>
  <si>
    <t>us10y_zscore_1y</t>
  </si>
  <si>
    <t>oil_n_shock_days_ytd</t>
  </si>
  <si>
    <t>etf_flow_q_zscore_live</t>
  </si>
  <si>
    <t>dxy_zscore_60d</t>
  </si>
  <si>
    <t>bb_lower</t>
  </si>
  <si>
    <t>ex_vingroup_pe</t>
  </si>
  <si>
    <t>nff_ex_etf_q_ytd</t>
  </si>
  <si>
    <t>nff_ex_etf_rolling60d</t>
  </si>
  <si>
    <t>rvol_10d</t>
  </si>
  <si>
    <t>FACTOR-LEVEL SCORE DECOMPOSITION — 2026-Q4</t>
  </si>
  <si>
    <t>Every indicator inside each pillar with its parsed 0-100 score. &lt;MISSING&gt; indicators fall back to neutral 50.</t>
  </si>
  <si>
    <t>Pillar Weight</t>
  </si>
  <si>
    <t>Indicator</t>
  </si>
  <si>
    <t>Observed Value / Analysis</t>
  </si>
  <si>
    <t>Score (0-100)</t>
  </si>
  <si>
    <t>Data Status</t>
  </si>
  <si>
    <t>vn1y_yield</t>
  </si>
  <si>
    <t>3.86%</t>
  </si>
  <si>
    <t>OK</t>
  </si>
  <si>
    <t>ir_trend</t>
  </si>
  <si>
    <t>Δ VN1Y = 0.0044 (→ Hold)</t>
  </si>
  <si>
    <t>usd_vnd</t>
  </si>
  <si>
    <t>Z-score = -1.27</t>
  </si>
  <si>
    <t>m2_yoy_growth</t>
  </si>
  <si>
    <t>MISSING</t>
  </si>
  <si>
    <t>vn_bonds</t>
  </si>
  <si>
    <t>VN10Y 4.48% | Spread 0.53%</t>
  </si>
  <si>
    <t>dxy</t>
  </si>
  <si>
    <t>Z = 1.05</t>
  </si>
  <si>
    <t>us10y</t>
  </si>
  <si>
    <t>5.18%</t>
  </si>
  <si>
    <t>nff_ex_etf</t>
  </si>
  <si>
    <t>Z = 0.21 (Neutral)</t>
  </si>
  <si>
    <t>-0.16% of Market Cap (YTD in Q)</t>
  </si>
  <si>
    <t>jpy_carry</t>
  </si>
  <si>
    <t>Z = -0.16 (Neutral)</t>
  </si>
  <si>
    <t>oil_shock</t>
  </si>
  <si>
    <t>Oil Shock Score = 43.8 (Max Δ5d = 19.5%)</t>
  </si>
  <si>
    <t>P/E Headline: 12.46 | Median: 10.25 | Ex-VG: 10.03 | Z = 0.81 (FAIR VALUE)</t>
  </si>
  <si>
    <t>pb_zscore</t>
  </si>
  <si>
    <t>Z = 0.68 (FAIR VALUE)</t>
  </si>
  <si>
    <t>margin_risk</t>
  </si>
  <si>
    <t>Risk = 20/100 (SAFE)</t>
  </si>
  <si>
    <t>mlr_forecast</t>
  </si>
  <si>
    <t>Forward log-return/day (next ~1M) = -0.0006</t>
  </si>
  <si>
    <t>var_forecast</t>
  </si>
  <si>
    <t>VAR T+5 return = 0.0011</t>
  </si>
  <si>
    <t>mlr_adj_r2</t>
  </si>
  <si>
    <t>Adj-R² = 0.1092 → confidence bonus 1.1</t>
  </si>
  <si>
    <t>granger_leaders</t>
  </si>
  <si>
    <t>1 vars Granger-cause VNI (p&lt;5%)</t>
  </si>
  <si>
    <t>model_quality</t>
  </si>
  <si>
    <t>Accuracy=42.5% F1=0.369 → quality 40</t>
  </si>
  <si>
    <t>ml_signal</t>
  </si>
  <si>
    <t>Forecast: DOWN (conf=50%)</t>
  </si>
  <si>
    <t>ftse_upgrade</t>
  </si>
  <si>
    <t>Status: confirmed</t>
  </si>
  <si>
    <t>rebalancing</t>
  </si>
  <si>
    <t>0 months to rebalancing → bonus +20</t>
  </si>
  <si>
    <t>adtv</t>
  </si>
  <si>
    <t>ADTV change -11.9% QoQ</t>
  </si>
  <si>
    <t>etf_flow</t>
  </si>
  <si>
    <t>Z = -0.21 (Neutral)</t>
  </si>
  <si>
    <t>etf_flow_q_ytd</t>
  </si>
  <si>
    <t>0.00% of Market Cap (YTD in Q)</t>
  </si>
  <si>
    <t>pillar_components_used</t>
  </si>
  <si>
    <t>3/3 components with data → average over 3</t>
  </si>
  <si>
    <t>SIGNAL EFFICACY — DOES THE CALIBRATED ACTION SIGNAL PREDICT NEXT-QUARTER RETURNS?</t>
  </si>
  <si>
    <t>Primary test = CALIBRATED action signal (z-score vs prior quarters, point-in-time). Signal at quarter t is evaluated against the VN-Index return over quarter t+1. Raw composite shown as comparison. No look-ahead.</t>
  </si>
  <si>
    <t>Quarters evaluated (N)</t>
  </si>
  <si>
    <t>IC Calibrated (Pearson)</t>
  </si>
  <si>
    <t>IC Calibrated (Spearman)</t>
  </si>
  <si>
    <t>IC Raw composite (Pearson) — comparison</t>
  </si>
  <si>
    <t>IC Raw composite (Spearman) — comparison</t>
  </si>
  <si>
    <t>Directional Hit Rate — calibrated (≥50 → up)</t>
  </si>
  <si>
    <t>Directional Hit Rate — raw (comparison)</t>
  </si>
  <si>
    <t>Strategy total return — calibrated signal</t>
  </si>
  <si>
    <t>Strategy total return — raw signal (comparison)</t>
  </si>
  <si>
    <t>Buy &amp; Hold total return</t>
  </si>
  <si>
    <t>Strategy Sharpe (annualised, rf=0)</t>
  </si>
  <si>
    <t>Buy &amp; Hold Sharpe (annualised, rf=0)</t>
  </si>
  <si>
    <t>FORWARD RETURN BY CALIBRATED REGIME BUCKET</t>
  </si>
  <si>
    <t>Calibrated Regime</t>
  </si>
  <si>
    <t>N</t>
  </si>
  <si>
    <t>Avg Fwd Return</t>
  </si>
  <si>
    <t>Median Fwd Return</t>
  </si>
  <si>
    <t>Win Rate (fwd&gt;0)</t>
  </si>
  <si>
    <t>QUARTER-BY-QUARTER SIGNAL LEDGER (calibrated)</t>
  </si>
  <si>
    <t>Calibrated (t)</t>
  </si>
  <si>
    <t>Equity Allocation</t>
  </si>
  <si>
    <t>Raw Score (t)</t>
  </si>
  <si>
    <t>Raw Label</t>
  </si>
  <si>
    <t>Strategy Return</t>
  </si>
  <si>
    <t>Hit?</t>
  </si>
  <si>
    <t>Strategy Index</t>
  </si>
  <si>
    <t>Buy&amp;Hold Index</t>
  </si>
  <si>
    <t>✓</t>
  </si>
  <si>
    <t>✗</t>
  </si>
  <si>
    <t>Note: strategy holds the mid-point of the CALIBRATED recommended equity band (e.g. HOLD = 50%) for the following quarter; residual cash earns 0%. Gross of fees/slippage. Quarterly Sharpe annualised with √4. ICs are reported as-is (no curve-fitting) — low IC means weak directional edge; the calibrated layer primarily restores regime dispersion for allocation sizing, not alpha prediction.</t>
  </si>
  <si>
    <t>METHODOLOGY — WEIGHTS, REGIME BANDS &amp; DATA SOURCES</t>
  </si>
  <si>
    <t>REGIME BANDS (config.py SCORE_LABELS — single source of truth)</t>
  </si>
  <si>
    <t>Score Range</t>
  </si>
  <si>
    <t>Label</t>
  </si>
  <si>
    <t>Description</t>
  </si>
  <si>
    <t>80–100</t>
  </si>
  <si>
    <t>🟢 BUY</t>
  </si>
  <si>
    <t>Highly favorable environment — Increase exposure aggressively</t>
  </si>
  <si>
    <t>85–100% Equities</t>
  </si>
  <si>
    <t>65–79</t>
  </si>
  <si>
    <t>🔵 ACCUMULATE</t>
  </si>
  <si>
    <t>Gradually accumulate — Controllable risks</t>
  </si>
  <si>
    <t>70–85% Equities</t>
  </si>
  <si>
    <t>50–64</t>
  </si>
  <si>
    <t>🟡 HOLD</t>
  </si>
  <si>
    <t>Neutral — Await confirming signals</t>
  </si>
  <si>
    <t>40–60% Equities</t>
  </si>
  <si>
    <t>35–49</t>
  </si>
  <si>
    <t>🟠 REDUCE</t>
  </si>
  <si>
    <t>Reduce exposure — Increasing pressure</t>
  </si>
  <si>
    <t>20–40% Equities</t>
  </si>
  <si>
    <t>0–34</t>
  </si>
  <si>
    <t>🔴 SELL</t>
  </si>
  <si>
    <t>Defensive — Unfavorable environment</t>
  </si>
  <si>
    <t>0–20% Equities</t>
  </si>
  <si>
    <t>MODELS &amp; DATA SOURCES</t>
  </si>
  <si>
    <t>•</t>
  </si>
  <si>
    <t>MLR: forward VN-Index log-return regressed on macro factors; Newey-West HAC robust standard errors.</t>
  </si>
  <si>
    <t>VAR + Granger causality: tests whether factors statistically lead VN-Index returns.</t>
  </si>
  <si>
    <t>ML (XGBoost/RandomForest): trend classification with expanding-window Walk-Forward Validation (no look-ahead).</t>
  </si>
  <si>
    <t>Composite score (TIER 1 - raw): 6 pillar raw scores (0-100) × fixed weights; labels/allocations from config.py SCORE_LABELS. Kept unchanged as the reference layer.</t>
  </si>
  <si>
    <t>Calibrated Action Signal (TIER 2): calibrated = clip(center + z_scale × (raw − μ_hist)/σ_hist, 0, 100) where μ/σ come from PRIOR quarters only (expanding window, point-in-time, no look-ahead); parameters in config.py SCORE_CALIBRATION. First 4 quarters (or σ≈0) keep the raw score. Raw composite is never overwritten.</t>
  </si>
  <si>
    <t>Anti-compression at source: MLR signal gain 20000 (±0.10%/day → 70/30), VAR gain 5000; missing MLR/VAR/ADTV/ETF signals are excluded from pillar averages (renormalized over live signals) instead of defaulting to neutral 50.</t>
  </si>
  <si>
    <t>Data: vnstock (HOSE OHLCV, foreign flows, valuation), yfinance/FRED (DXY, US10Y, USD/JPY), SBV (rates, USD/VND), KBNN (VN yield curve).</t>
  </si>
  <si>
    <t>Workbook generated at 2026-09-28 11:09:13 from output/exports/score_*.json, data/scores/quarterly_scores_history.parquet and data/scores/vnindex_quarterly_close.json.</t>
  </si>
  <si>
    <t>Disclaimer: for research purposes only. Not financial advice.</t>
  </si>
</sst>
</file>

<file path=xl/styles.xml><?xml version="1.0" encoding="utf-8"?>
<styleSheet xmlns="http://schemas.openxmlformats.org/spreadsheetml/2006/main">
  <numFmts count="5">
    <numFmt numFmtId="164" formatCode="0%"/>
    <numFmt numFmtId="165" formatCode="0.00"/>
    <numFmt numFmtId="166" formatCode="0.0%"/>
    <numFmt numFmtId="167" formatCode="0.000000"/>
    <numFmt numFmtId="168" formatCode="0.0000"/>
  </numFmts>
  <fonts count="12">
    <font>
      <sz val="11"/>
      <color theme="1"/>
      <name val="Calibri"/>
      <family val="2"/>
      <scheme val="minor"/>
    </font>
    <font>
      <b/>
      <sz val="16"/>
      <color rgb="FF1E3A8A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28"/>
      <color rgb="FF1E3A8A"/>
      <name val="Calibri"/>
      <family val="2"/>
      <scheme val="minor"/>
    </font>
    <font>
      <b/>
      <sz val="11"/>
      <color rgb="FF47556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E3A8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854D0E"/>
      <name val="Calibri"/>
      <family val="2"/>
      <scheme val="minor"/>
    </font>
    <font>
      <b/>
      <sz val="11"/>
      <color rgb="FF991B1B"/>
      <name val="Calibri"/>
      <family val="2"/>
      <scheme val="minor"/>
    </font>
    <font>
      <b/>
      <sz val="11"/>
      <color rgb="FF166534"/>
      <name val="Calibri"/>
      <family val="2"/>
      <scheme val="minor"/>
    </font>
    <font>
      <i/>
      <sz val="9"/>
      <color rgb="FF64748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3B82F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0" fontId="10" fillId="6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1">
    <dxf>
      <font>
        <b/>
        <color rgb="FF166534"/>
      </font>
      <fill>
        <patternFill>
          <bgColor rgb="FFDCFCE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Pillar Weighted Contribution — 2026-Q4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Contribution</c:v>
          </c:tx>
          <c:spPr>
            <a:solidFill>
              <a:srgbClr val="3B82F6"/>
            </a:solidFill>
          </c:spPr>
          <c:dLbls>
            <c:numFmt formatCode="0.0" sourceLinked="0"/>
            <c:showVal val="1"/>
          </c:dLbls>
          <c:cat>
            <c:strRef>
              <c:f>'00_Dashboard'!$B$14:$B$19</c:f>
              <c:strCache>
                <c:ptCount val="6"/>
                <c:pt idx="0">
                  <c:v>Macro &amp; Monetary</c:v>
                </c:pt>
                <c:pt idx="1">
                  <c:v>Global &amp; Intermarket</c:v>
                </c:pt>
                <c:pt idx="2">
                  <c:v>Valuation &amp; Leverage</c:v>
                </c:pt>
                <c:pt idx="3">
                  <c:v>Quant Model (MLR/VAR)</c:v>
                </c:pt>
                <c:pt idx="4">
                  <c:v>ML Forecast</c:v>
                </c:pt>
                <c:pt idx="5">
                  <c:v>Market Structure</c:v>
                </c:pt>
              </c:strCache>
            </c:strRef>
          </c:cat>
          <c:val>
            <c:numRef>
              <c:f>'00_Dashboard'!$E$14:$E$19</c:f>
              <c:numCache>
                <c:formatCode>General</c:formatCode>
                <c:ptCount val="6"/>
                <c:pt idx="0">
                  <c:v>13.58</c:v>
                </c:pt>
                <c:pt idx="1">
                  <c:v>7.44</c:v>
                </c:pt>
                <c:pt idx="2">
                  <c:v>11.5</c:v>
                </c:pt>
                <c:pt idx="3">
                  <c:v>8.24</c:v>
                </c:pt>
                <c:pt idx="4">
                  <c:v>2.59</c:v>
                </c:pt>
                <c:pt idx="5">
                  <c:v>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Calibrated Action (solid) + Raw Composite (dashed) vs VN-Index (RHS)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Calibrated Action Score</c:v>
          </c:tx>
          <c:spPr>
            <a:ln w="31750">
              <a:solidFill>
                <a:srgbClr val="8B5CF6"/>
              </a:solidFill>
            </a:ln>
          </c:spPr>
          <c:marker>
            <c:symbol val="none"/>
          </c:marker>
          <c:cat>
            <c:strRef>
              <c:f>'01_Score_History'!$B$6:$B$29</c:f>
              <c:strCache>
                <c:ptCount val="24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</c:strCache>
            </c:strRef>
          </c:cat>
          <c:val>
            <c:numRef>
              <c:f>'01_Score_History'!$E$6:$E$29</c:f>
              <c:numCache>
                <c:formatCode>General</c:formatCode>
                <c:ptCount val="24"/>
                <c:pt idx="0">
                  <c:v>64.01000000000001</c:v>
                </c:pt>
                <c:pt idx="1">
                  <c:v>55.19</c:v>
                </c:pt>
                <c:pt idx="2">
                  <c:v>54.94</c:v>
                </c:pt>
                <c:pt idx="3">
                  <c:v>52.61</c:v>
                </c:pt>
                <c:pt idx="4">
                  <c:v>62.17</c:v>
                </c:pt>
                <c:pt idx="5">
                  <c:v>26.12</c:v>
                </c:pt>
                <c:pt idx="6">
                  <c:v>35.08</c:v>
                </c:pt>
                <c:pt idx="7">
                  <c:v>21.68</c:v>
                </c:pt>
                <c:pt idx="8">
                  <c:v>49.98</c:v>
                </c:pt>
                <c:pt idx="9">
                  <c:v>55.72</c:v>
                </c:pt>
                <c:pt idx="10">
                  <c:v>66.42</c:v>
                </c:pt>
                <c:pt idx="11">
                  <c:v>45.84</c:v>
                </c:pt>
                <c:pt idx="12">
                  <c:v>41.76</c:v>
                </c:pt>
                <c:pt idx="13">
                  <c:v>54.84</c:v>
                </c:pt>
                <c:pt idx="14">
                  <c:v>47.88</c:v>
                </c:pt>
                <c:pt idx="15">
                  <c:v>48.34</c:v>
                </c:pt>
                <c:pt idx="16">
                  <c:v>39.85</c:v>
                </c:pt>
                <c:pt idx="17">
                  <c:v>39.78</c:v>
                </c:pt>
                <c:pt idx="18">
                  <c:v>53.01</c:v>
                </c:pt>
                <c:pt idx="19">
                  <c:v>43.29</c:v>
                </c:pt>
                <c:pt idx="20">
                  <c:v>38.67</c:v>
                </c:pt>
                <c:pt idx="21">
                  <c:v>20.48</c:v>
                </c:pt>
                <c:pt idx="22">
                  <c:v>36.76</c:v>
                </c:pt>
                <c:pt idx="23">
                  <c:v>34.51</c:v>
                </c:pt>
              </c:numCache>
            </c:numRef>
          </c:val>
        </c:ser>
        <c:ser>
          <c:idx val="1"/>
          <c:order val="1"/>
          <c:tx>
            <c:v>Raw Composite Score</c:v>
          </c:tx>
          <c:spPr>
            <a:ln w="19050">
              <a:solidFill>
                <a:srgbClr val="3B82F6"/>
              </a:solidFill>
              <a:prstDash val="dash"/>
            </a:ln>
          </c:spPr>
          <c:marker>
            <c:symbol val="none"/>
          </c:marker>
          <c:cat>
            <c:strRef>
              <c:f>'01_Score_History'!$B$6:$B$29</c:f>
              <c:strCache>
                <c:ptCount val="24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</c:strCache>
            </c:strRef>
          </c:cat>
          <c:val>
            <c:numRef>
              <c:f>'01_Score_History'!$C$6:$C$29</c:f>
              <c:numCache>
                <c:formatCode>General</c:formatCode>
                <c:ptCount val="24"/>
                <c:pt idx="0">
                  <c:v>64.01000000000001</c:v>
                </c:pt>
                <c:pt idx="1">
                  <c:v>55.19</c:v>
                </c:pt>
                <c:pt idx="2">
                  <c:v>54.94</c:v>
                </c:pt>
                <c:pt idx="3">
                  <c:v>52.61</c:v>
                </c:pt>
                <c:pt idx="4">
                  <c:v>60.76</c:v>
                </c:pt>
                <c:pt idx="5">
                  <c:v>50</c:v>
                </c:pt>
                <c:pt idx="6">
                  <c:v>51.07</c:v>
                </c:pt>
                <c:pt idx="7">
                  <c:v>45.8</c:v>
                </c:pt>
                <c:pt idx="8">
                  <c:v>54.29</c:v>
                </c:pt>
                <c:pt idx="9">
                  <c:v>56.39</c:v>
                </c:pt>
                <c:pt idx="10">
                  <c:v>60.22</c:v>
                </c:pt>
                <c:pt idx="11">
                  <c:v>53.57</c:v>
                </c:pt>
                <c:pt idx="12">
                  <c:v>52.15</c:v>
                </c:pt>
                <c:pt idx="13">
                  <c:v>56.26</c:v>
                </c:pt>
                <c:pt idx="14">
                  <c:v>54.14</c:v>
                </c:pt>
                <c:pt idx="15">
                  <c:v>54.26</c:v>
                </c:pt>
                <c:pt idx="16">
                  <c:v>51.77</c:v>
                </c:pt>
                <c:pt idx="17">
                  <c:v>51.63</c:v>
                </c:pt>
                <c:pt idx="18">
                  <c:v>55.24</c:v>
                </c:pt>
                <c:pt idx="19">
                  <c:v>52.6</c:v>
                </c:pt>
                <c:pt idx="20">
                  <c:v>51.31</c:v>
                </c:pt>
                <c:pt idx="21">
                  <c:v>46.38</c:v>
                </c:pt>
                <c:pt idx="22">
                  <c:v>50.12</c:v>
                </c:pt>
                <c:pt idx="23">
                  <c:v>49.35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2"/>
          <c:order val="2"/>
          <c:tx>
            <c:v>VN-Index Close</c:v>
          </c:tx>
          <c:spPr>
            <a:ln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'01_Score_History'!$B$6:$B$29</c:f>
              <c:strCache>
                <c:ptCount val="24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</c:strCache>
            </c:strRef>
          </c:cat>
          <c:val>
            <c:numRef>
              <c:f>'01_Score_History'!$O$6:$O$29</c:f>
              <c:numCache>
                <c:formatCode>General</c:formatCode>
                <c:ptCount val="24"/>
                <c:pt idx="0">
                  <c:v>1191.44</c:v>
                </c:pt>
                <c:pt idx="1">
                  <c:v>1408.55</c:v>
                </c:pt>
                <c:pt idx="2">
                  <c:v>1342.06</c:v>
                </c:pt>
                <c:pt idx="3">
                  <c:v>1498.28</c:v>
                </c:pt>
                <c:pt idx="4">
                  <c:v>1492.15</c:v>
                </c:pt>
                <c:pt idx="5">
                  <c:v>1197.6</c:v>
                </c:pt>
                <c:pt idx="6">
                  <c:v>1132.11</c:v>
                </c:pt>
                <c:pt idx="7">
                  <c:v>1007.09</c:v>
                </c:pt>
                <c:pt idx="8">
                  <c:v>1064.64</c:v>
                </c:pt>
                <c:pt idx="9">
                  <c:v>1120.18</c:v>
                </c:pt>
                <c:pt idx="10">
                  <c:v>1154.15</c:v>
                </c:pt>
                <c:pt idx="11">
                  <c:v>1129.93</c:v>
                </c:pt>
                <c:pt idx="12">
                  <c:v>1284.09</c:v>
                </c:pt>
                <c:pt idx="13">
                  <c:v>1245.32</c:v>
                </c:pt>
                <c:pt idx="14">
                  <c:v>1287.94</c:v>
                </c:pt>
                <c:pt idx="15">
                  <c:v>1266.78</c:v>
                </c:pt>
                <c:pt idx="16">
                  <c:v>1306.86</c:v>
                </c:pt>
                <c:pt idx="17">
                  <c:v>1376.07</c:v>
                </c:pt>
                <c:pt idx="18">
                  <c:v>1661.7</c:v>
                </c:pt>
                <c:pt idx="19">
                  <c:v>1784.49</c:v>
                </c:pt>
                <c:pt idx="20">
                  <c:v>1674.49</c:v>
                </c:pt>
                <c:pt idx="21">
                  <c:v>1860.01</c:v>
                </c:pt>
                <c:pt idx="22">
                  <c:v>1780.68</c:v>
                </c:pt>
                <c:pt idx="23">
                  <c:v>0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(0-100)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VN-Index</a:t>
                </a:r>
              </a:p>
            </c:rich>
          </c:tx>
          <c:layout/>
        </c:title>
        <c:numFmt formatCode="General" sourceLinked="1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tickLblPos val="none"/>
        <c:crossAx val="500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Factor Betas — 2026-Q4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Beta (β)</c:v>
          </c:tx>
          <c:spPr>
            <a:solidFill>
              <a:srgbClr val="8B5CF6"/>
            </a:solidFill>
          </c:spPr>
          <c:dLbls>
            <c:numFmt formatCode="0.0000" sourceLinked="0"/>
            <c:showVal val="1"/>
          </c:dLbls>
          <c:cat>
            <c:strRef>
              <c:f>'02_Factor_Impact'!$B$6:$B$17</c:f>
              <c:strCache>
                <c:ptCount val="12"/>
                <c:pt idx="0">
                  <c:v>delta_dxy</c:v>
                </c:pt>
                <c:pt idx="1">
                  <c:v>delta_us10y</c:v>
                </c:pt>
                <c:pt idx="2">
                  <c:v>delta_usdjpy</c:v>
                </c:pt>
                <c:pt idx="3">
                  <c:v>usd_vnd_pct_change</c:v>
                </c:pt>
                <c:pt idx="4">
                  <c:v>rsi_14</c:v>
                </c:pt>
                <c:pt idx="5">
                  <c:v>macd_hist</c:v>
                </c:pt>
                <c:pt idx="6">
                  <c:v>bb_pct</c:v>
                </c:pt>
                <c:pt idx="7">
                  <c:v>rvol_20d</c:v>
                </c:pt>
                <c:pt idx="8">
                  <c:v>drawdown_from_peak</c:v>
                </c:pt>
                <c:pt idx="9">
                  <c:v>price_vs_ma200</c:v>
                </c:pt>
                <c:pt idx="10">
                  <c:v>log_return_lag1</c:v>
                </c:pt>
                <c:pt idx="11">
                  <c:v>log_return_lag5</c:v>
                </c:pt>
              </c:strCache>
            </c:strRef>
          </c:cat>
          <c:val>
            <c:numRef>
              <c:f>'02_Factor_Impact'!$C$6:$C$17</c:f>
              <c:numCache>
                <c:formatCode>General</c:formatCode>
                <c:ptCount val="12"/>
                <c:pt idx="0">
                  <c:v>-0.036358</c:v>
                </c:pt>
                <c:pt idx="1">
                  <c:v>0.000137</c:v>
                </c:pt>
                <c:pt idx="2">
                  <c:v>-0.032628</c:v>
                </c:pt>
                <c:pt idx="3">
                  <c:v>-0.002719</c:v>
                </c:pt>
                <c:pt idx="4">
                  <c:v>9.899999999999999e-05</c:v>
                </c:pt>
                <c:pt idx="5">
                  <c:v>-8.000000000000001e-05</c:v>
                </c:pt>
                <c:pt idx="6">
                  <c:v>-0.000221</c:v>
                </c:pt>
                <c:pt idx="7">
                  <c:v>-0.002852</c:v>
                </c:pt>
                <c:pt idx="8">
                  <c:v>-0.029501</c:v>
                </c:pt>
                <c:pt idx="9">
                  <c:v>0.006628</c:v>
                </c:pt>
                <c:pt idx="10">
                  <c:v>-0.005037</c:v>
                </c:pt>
                <c:pt idx="11">
                  <c:v>-0.000575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Out-of-Sample Metrics per Fold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Accuracy</c:v>
          </c:tx>
          <c:spPr>
            <a:solidFill>
              <a:srgbClr val="10B981"/>
            </a:solidFill>
          </c:spPr>
          <c:cat>
            <c:numRef>
              <c:f>'04_ML_Validation'!$B$16:$B$23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'04_ML_Validation'!$E$16:$E$23</c:f>
              <c:numCache>
                <c:formatCode>General</c:formatCode>
                <c:ptCount val="8"/>
                <c:pt idx="0">
                  <c:v>0.5077</c:v>
                </c:pt>
                <c:pt idx="1">
                  <c:v>0.2308</c:v>
                </c:pt>
                <c:pt idx="2">
                  <c:v>0.3077</c:v>
                </c:pt>
                <c:pt idx="3">
                  <c:v>0.1846</c:v>
                </c:pt>
                <c:pt idx="4">
                  <c:v>0.5385</c:v>
                </c:pt>
                <c:pt idx="5">
                  <c:v>0.4769</c:v>
                </c:pt>
                <c:pt idx="6">
                  <c:v>0.6</c:v>
                </c:pt>
                <c:pt idx="7">
                  <c:v>0.5538</c:v>
                </c:pt>
              </c:numCache>
            </c:numRef>
          </c:val>
        </c:ser>
        <c:ser>
          <c:idx val="1"/>
          <c:order val="1"/>
          <c:tx>
            <c:v>F1 (weighted)</c:v>
          </c:tx>
          <c:spPr>
            <a:solidFill>
              <a:srgbClr val="3B82F6"/>
            </a:solidFill>
          </c:spPr>
          <c:cat>
            <c:numRef>
              <c:f>'04_ML_Validation'!$B$16:$B$23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'04_ML_Validation'!$F$16:$F$23</c:f>
              <c:numCache>
                <c:formatCode>General</c:formatCode>
                <c:ptCount val="8"/>
                <c:pt idx="0">
                  <c:v>0.4311</c:v>
                </c:pt>
                <c:pt idx="1">
                  <c:v>0.1253</c:v>
                </c:pt>
                <c:pt idx="2">
                  <c:v>0.2744</c:v>
                </c:pt>
                <c:pt idx="3">
                  <c:v>0.1733</c:v>
                </c:pt>
                <c:pt idx="4">
                  <c:v>0.4494</c:v>
                </c:pt>
                <c:pt idx="5">
                  <c:v>0.4372</c:v>
                </c:pt>
                <c:pt idx="6">
                  <c:v>0.5671</c:v>
                </c:pt>
                <c:pt idx="7">
                  <c:v>0.496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Feature Importance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Importance</c:v>
          </c:tx>
          <c:spPr>
            <a:solidFill>
              <a:srgbClr val="10B981"/>
            </a:solidFill>
          </c:spPr>
          <c:cat>
            <c:strRef>
              <c:f>'04_ML_Validation'!$C$28:$C$42</c:f>
              <c:strCache>
                <c:ptCount val="15"/>
                <c:pt idx="0">
                  <c:v>ema_20</c:v>
                </c:pt>
                <c:pt idx="1">
                  <c:v>macd_line</c:v>
                </c:pt>
                <c:pt idx="2">
                  <c:v>etf_flow_q_zscore</c:v>
                </c:pt>
                <c:pt idx="3">
                  <c:v>bb_mid</c:v>
                </c:pt>
                <c:pt idx="4">
                  <c:v>us10y_30d_change</c:v>
                </c:pt>
                <c:pt idx="5">
                  <c:v>usd_vnd_zscore_lag1</c:v>
                </c:pt>
                <c:pt idx="6">
                  <c:v>us10y_zscore_1y</c:v>
                </c:pt>
                <c:pt idx="7">
                  <c:v>oil_n_shock_days_ytd</c:v>
                </c:pt>
                <c:pt idx="8">
                  <c:v>etf_flow_q_zscore_live</c:v>
                </c:pt>
                <c:pt idx="9">
                  <c:v>dxy_zscore_60d</c:v>
                </c:pt>
                <c:pt idx="10">
                  <c:v>bb_lower</c:v>
                </c:pt>
                <c:pt idx="11">
                  <c:v>ex_vingroup_pe</c:v>
                </c:pt>
                <c:pt idx="12">
                  <c:v>nff_ex_etf_q_ytd</c:v>
                </c:pt>
                <c:pt idx="13">
                  <c:v>nff_ex_etf_rolling60d</c:v>
                </c:pt>
                <c:pt idx="14">
                  <c:v>rvol_10d</c:v>
                </c:pt>
              </c:strCache>
            </c:strRef>
          </c:cat>
          <c:val>
            <c:numRef>
              <c:f>'04_ML_Validation'!$D$28:$D$42</c:f>
              <c:numCache>
                <c:formatCode>General</c:formatCode>
                <c:ptCount val="15"/>
                <c:pt idx="0">
                  <c:v>0.02178040146827698</c:v>
                </c:pt>
                <c:pt idx="1">
                  <c:v>0.02076428011059761</c:v>
                </c:pt>
                <c:pt idx="2">
                  <c:v>0.01783575303852558</c:v>
                </c:pt>
                <c:pt idx="3">
                  <c:v>0.01772940717637539</c:v>
                </c:pt>
                <c:pt idx="4">
                  <c:v>0.01733604446053505</c:v>
                </c:pt>
                <c:pt idx="5">
                  <c:v>0.0167862419039011</c:v>
                </c:pt>
                <c:pt idx="6">
                  <c:v>0.01557330787181854</c:v>
                </c:pt>
                <c:pt idx="7">
                  <c:v>0.01539521757513285</c:v>
                </c:pt>
                <c:pt idx="8">
                  <c:v>0.01488733943551779</c:v>
                </c:pt>
                <c:pt idx="9">
                  <c:v>0.01360253803431988</c:v>
                </c:pt>
                <c:pt idx="10">
                  <c:v>0.0134799899533391</c:v>
                </c:pt>
                <c:pt idx="11">
                  <c:v>0.01324111688882113</c:v>
                </c:pt>
                <c:pt idx="12">
                  <c:v>0.01247525215148926</c:v>
                </c:pt>
                <c:pt idx="13">
                  <c:v>0.01242704410105944</c:v>
                </c:pt>
                <c:pt idx="14">
                  <c:v>0.01225554849952459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Cumulative Growth: Calibrated-Signal Allocation vs Buy &amp; Hold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Calibrated-Signal Strategy (base=100)</c:v>
          </c:tx>
          <c:spPr>
            <a:ln w="31750">
              <a:solidFill>
                <a:srgbClr val="8B5CF6"/>
              </a:solidFill>
            </a:ln>
          </c:spPr>
          <c:marker>
            <c:symbol val="none"/>
          </c:marker>
          <c:cat>
            <c:strRef>
              <c:f>'06_Signal_Efficacy'!$B$27:$B$48</c:f>
              <c:strCache>
                <c:ptCount val="22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</c:strCache>
            </c:strRef>
          </c:cat>
          <c:val>
            <c:numRef>
              <c:f>'06_Signal_Efficacy'!$K$27:$K$48</c:f>
              <c:numCache>
                <c:formatCode>General</c:formatCode>
                <c:ptCount val="22"/>
                <c:pt idx="0">
                  <c:v>109.1112435372323</c:v>
                </c:pt>
                <c:pt idx="1">
                  <c:v>106.5359687572136</c:v>
                </c:pt>
                <c:pt idx="2">
                  <c:v>112.7365294770219</c:v>
                </c:pt>
                <c:pt idx="3">
                  <c:v>112.5059067210303</c:v>
                </c:pt>
                <c:pt idx="4">
                  <c:v>101.4015891843619</c:v>
                </c:pt>
                <c:pt idx="5">
                  <c:v>100.8470809950096</c:v>
                </c:pt>
                <c:pt idx="6">
                  <c:v>97.50608884778109</c:v>
                </c:pt>
                <c:pt idx="7">
                  <c:v>98.06328586226736</c:v>
                </c:pt>
                <c:pt idx="8">
                  <c:v>100.6211621851513</c:v>
                </c:pt>
                <c:pt idx="9">
                  <c:v>102.1468548771426</c:v>
                </c:pt>
                <c:pt idx="10">
                  <c:v>100.4855911423842</c:v>
                </c:pt>
                <c:pt idx="11">
                  <c:v>104.5984632841567</c:v>
                </c:pt>
                <c:pt idx="12">
                  <c:v>103.6510337998853</c:v>
                </c:pt>
                <c:pt idx="13">
                  <c:v>105.4247172951119</c:v>
                </c:pt>
                <c:pt idx="14">
                  <c:v>104.9050998398039</c:v>
                </c:pt>
                <c:pt idx="15">
                  <c:v>105.9008362111342</c:v>
                </c:pt>
                <c:pt idx="16">
                  <c:v>107.5833569572369</c:v>
                </c:pt>
                <c:pt idx="17">
                  <c:v>114.2826602443579</c:v>
                </c:pt>
                <c:pt idx="18">
                  <c:v>118.5050733909562</c:v>
                </c:pt>
                <c:pt idx="19">
                  <c:v>116.3135971585864</c:v>
                </c:pt>
                <c:pt idx="20">
                  <c:v>120.179579973329</c:v>
                </c:pt>
                <c:pt idx="21">
                  <c:v>119.6670103592256</c:v>
                </c:pt>
              </c:numCache>
            </c:numRef>
          </c:val>
        </c:ser>
        <c:ser>
          <c:idx val="1"/>
          <c:order val="1"/>
          <c:tx>
            <c:v>Buy &amp; Hold (base=100)</c:v>
          </c:tx>
          <c:spPr>
            <a:ln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'06_Signal_Efficacy'!$B$27:$B$48</c:f>
              <c:strCache>
                <c:ptCount val="22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</c:strCache>
            </c:strRef>
          </c:cat>
          <c:val>
            <c:numRef>
              <c:f>'06_Signal_Efficacy'!$L$27:$L$48</c:f>
              <c:numCache>
                <c:formatCode>General</c:formatCode>
                <c:ptCount val="22"/>
                <c:pt idx="0">
                  <c:v>118.2224870744645</c:v>
                </c:pt>
                <c:pt idx="1">
                  <c:v>112.6418451621567</c:v>
                </c:pt>
                <c:pt idx="2">
                  <c:v>125.7537097965487</c:v>
                </c:pt>
                <c:pt idx="3">
                  <c:v>125.2392063385483</c:v>
                </c:pt>
                <c:pt idx="4">
                  <c:v>100.5170214194588</c:v>
                </c:pt>
                <c:pt idx="5">
                  <c:v>95.02031155576445</c:v>
                </c:pt>
                <c:pt idx="6">
                  <c:v>84.52712683811188</c:v>
                </c:pt>
                <c:pt idx="7">
                  <c:v>89.35741623581549</c:v>
                </c:pt>
                <c:pt idx="8">
                  <c:v>94.01900221580608</c:v>
                </c:pt>
                <c:pt idx="9">
                  <c:v>96.87017390720473</c:v>
                </c:pt>
                <c:pt idx="10">
                  <c:v>94.83733968978714</c:v>
                </c:pt>
                <c:pt idx="11">
                  <c:v>107.7763043040354</c:v>
                </c:pt>
                <c:pt idx="12">
                  <c:v>104.5222587792923</c:v>
                </c:pt>
                <c:pt idx="13">
                  <c:v>108.0994426911972</c:v>
                </c:pt>
                <c:pt idx="14">
                  <c:v>106.3234405425367</c:v>
                </c:pt>
                <c:pt idx="15">
                  <c:v>109.6874370509635</c:v>
                </c:pt>
                <c:pt idx="16">
                  <c:v>115.4963741354999</c:v>
                </c:pt>
                <c:pt idx="17">
                  <c:v>139.4698851809575</c:v>
                </c:pt>
                <c:pt idx="18">
                  <c:v>149.7759014302021</c:v>
                </c:pt>
                <c:pt idx="19">
                  <c:v>140.5433760827234</c:v>
                </c:pt>
                <c:pt idx="20">
                  <c:v>156.1144497414892</c:v>
                </c:pt>
                <c:pt idx="21">
                  <c:v>149.4561203249849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561975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9</xdr:col>
      <xdr:colOff>790575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8</xdr:col>
      <xdr:colOff>104775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15</xdr:row>
      <xdr:rowOff>0</xdr:rowOff>
    </xdr:from>
    <xdr:to>
      <xdr:col>16</xdr:col>
      <xdr:colOff>457200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16</xdr:col>
      <xdr:colOff>457200</xdr:colOff>
      <xdr:row>46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8</xdr:col>
      <xdr:colOff>638175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3A8A"/>
  </sheetPr>
  <dimension ref="B2:G20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10.7109375" customWidth="1"/>
    <col min="4" max="4" width="18.7109375" customWidth="1"/>
    <col min="5" max="5" width="20.7109375" customWidth="1"/>
    <col min="6" max="6" width="16.7109375" customWidth="1"/>
    <col min="7" max="7" width="14.7109375" customWidth="1"/>
    <col min="8" max="8" width="16.7109375" customWidth="1"/>
  </cols>
  <sheetData>
    <row r="2" spans="2:7">
      <c r="B2" s="1" t="s">
        <v>0</v>
      </c>
    </row>
    <row r="3" spans="2:7">
      <c r="B3" s="2" t="s">
        <v>1</v>
      </c>
    </row>
    <row r="5" spans="2:7">
      <c r="B5" s="3" t="s">
        <v>2</v>
      </c>
      <c r="C5" s="3"/>
      <c r="E5" s="4" t="s">
        <v>3</v>
      </c>
      <c r="F5" s="5" t="s">
        <v>4</v>
      </c>
    </row>
    <row r="6" spans="2:7">
      <c r="B6" s="3"/>
      <c r="C6" s="3"/>
      <c r="E6" s="4" t="s">
        <v>5</v>
      </c>
      <c r="F6" s="5" t="s">
        <v>6</v>
      </c>
    </row>
    <row r="7" spans="2:7">
      <c r="B7" s="3"/>
      <c r="C7" s="3"/>
      <c r="E7" s="4" t="s">
        <v>7</v>
      </c>
      <c r="F7" s="5" t="s">
        <v>8</v>
      </c>
    </row>
    <row r="8" spans="2:7">
      <c r="E8" s="4" t="s">
        <v>9</v>
      </c>
      <c r="F8" s="5" t="s">
        <v>10</v>
      </c>
    </row>
    <row r="9" spans="2:7">
      <c r="E9" s="4" t="s">
        <v>11</v>
      </c>
      <c r="F9" s="5" t="s">
        <v>12</v>
      </c>
    </row>
    <row r="10" spans="2:7">
      <c r="E10" s="4" t="s">
        <v>13</v>
      </c>
      <c r="F10" s="5" t="s">
        <v>14</v>
      </c>
    </row>
    <row r="11" spans="2:7">
      <c r="E11" s="4" t="s">
        <v>15</v>
      </c>
      <c r="F11" s="5" t="s">
        <v>16</v>
      </c>
    </row>
    <row r="12" spans="2:7">
      <c r="B12" s="6" t="s">
        <v>17</v>
      </c>
    </row>
    <row r="13" spans="2:7">
      <c r="B13" s="7" t="s">
        <v>18</v>
      </c>
      <c r="C13" s="7" t="s">
        <v>19</v>
      </c>
      <c r="D13" s="7" t="s">
        <v>20</v>
      </c>
      <c r="E13" s="7" t="s">
        <v>21</v>
      </c>
      <c r="F13" s="7" t="s">
        <v>22</v>
      </c>
      <c r="G13" s="7" t="s">
        <v>23</v>
      </c>
    </row>
    <row r="14" spans="2:7">
      <c r="B14" s="8" t="s">
        <v>24</v>
      </c>
      <c r="C14" s="9">
        <v>0.25</v>
      </c>
      <c r="D14" s="10">
        <v>54.32</v>
      </c>
      <c r="E14" s="10">
        <v>13.58</v>
      </c>
      <c r="F14" s="11">
        <v>0.275177304964539</v>
      </c>
      <c r="G14" s="12" t="s">
        <v>25</v>
      </c>
    </row>
    <row r="15" spans="2:7">
      <c r="B15" s="8" t="s">
        <v>26</v>
      </c>
      <c r="C15" s="9">
        <v>0.2</v>
      </c>
      <c r="D15" s="10">
        <v>37.19</v>
      </c>
      <c r="E15" s="10">
        <v>7.44</v>
      </c>
      <c r="F15" s="11">
        <v>0.1507598784194529</v>
      </c>
      <c r="G15" s="13" t="s">
        <v>27</v>
      </c>
    </row>
    <row r="16" spans="2:7">
      <c r="B16" s="8" t="s">
        <v>28</v>
      </c>
      <c r="C16" s="9">
        <v>0.2</v>
      </c>
      <c r="D16" s="10">
        <v>57.51</v>
      </c>
      <c r="E16" s="10">
        <v>11.5</v>
      </c>
      <c r="F16" s="11">
        <v>0.2330293819655522</v>
      </c>
      <c r="G16" s="12" t="s">
        <v>25</v>
      </c>
    </row>
    <row r="17" spans="2:7">
      <c r="B17" s="8" t="s">
        <v>29</v>
      </c>
      <c r="C17" s="9">
        <v>0.15</v>
      </c>
      <c r="D17" s="10">
        <v>54.93</v>
      </c>
      <c r="E17" s="10">
        <v>8.24</v>
      </c>
      <c r="F17" s="11">
        <v>0.1669706180344478</v>
      </c>
      <c r="G17" s="12" t="s">
        <v>25</v>
      </c>
    </row>
    <row r="18" spans="2:7">
      <c r="B18" s="8" t="s">
        <v>30</v>
      </c>
      <c r="C18" s="9">
        <v>0.1</v>
      </c>
      <c r="D18" s="10">
        <v>25.91</v>
      </c>
      <c r="E18" s="10">
        <v>2.59</v>
      </c>
      <c r="F18" s="11">
        <v>0.05248226950354609</v>
      </c>
      <c r="G18" s="13" t="s">
        <v>27</v>
      </c>
    </row>
    <row r="19" spans="2:7">
      <c r="B19" s="8" t="s">
        <v>31</v>
      </c>
      <c r="C19" s="9">
        <v>0.1</v>
      </c>
      <c r="D19" s="10">
        <v>59.97</v>
      </c>
      <c r="E19" s="10">
        <v>6</v>
      </c>
      <c r="F19" s="11">
        <v>0.121580547112462</v>
      </c>
      <c r="G19" s="12" t="s">
        <v>25</v>
      </c>
    </row>
    <row r="20" spans="2:7">
      <c r="B20" s="4" t="s">
        <v>32</v>
      </c>
      <c r="C20" s="9">
        <v>1</v>
      </c>
      <c r="D20" s="8"/>
      <c r="E20" s="10">
        <v>49.35</v>
      </c>
      <c r="F20" s="11">
        <v>1</v>
      </c>
      <c r="G20" s="5" t="s">
        <v>33</v>
      </c>
    </row>
  </sheetData>
  <mergeCells count="1">
    <mergeCell ref="B5:C7"/>
  </mergeCells>
  <conditionalFormatting sqref="D14:D19">
    <cfRule type="colorScale" priority="1">
      <colorScale>
        <cfvo type="num" val="0"/>
        <cfvo type="num" val="50"/>
        <cfvo type="num" val="100"/>
        <color rgb="FFEF4444"/>
        <color rgb="FFFDE047"/>
        <color rgb="FF22C55E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2F6"/>
  </sheetPr>
  <dimension ref="B2:Q2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10.7109375" customWidth="1"/>
    <col min="3" max="3" width="12.7109375" customWidth="1"/>
    <col min="4" max="4" width="13.7109375" customWidth="1"/>
    <col min="5" max="5" width="14.7109375" customWidth="1"/>
    <col min="6" max="6" width="15.7109375" customWidth="1"/>
    <col min="7" max="7" width="16.7109375" customWidth="1"/>
    <col min="8" max="8" width="12.7109375" customWidth="1"/>
    <col min="9" max="14" width="19.7109375" customWidth="1"/>
    <col min="15" max="15" width="14.7109375" customWidth="1"/>
    <col min="16" max="16" width="12.7109375" customWidth="1"/>
    <col min="17" max="17" width="15.7109375" customWidth="1"/>
  </cols>
  <sheetData>
    <row r="2" spans="2:17">
      <c r="B2" s="1" t="s">
        <v>34</v>
      </c>
    </row>
    <row r="3" spans="2:17">
      <c r="B3" s="2" t="s">
        <v>35</v>
      </c>
    </row>
    <row r="5" spans="2:17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9</v>
      </c>
      <c r="H5" s="7" t="s">
        <v>41</v>
      </c>
      <c r="I5" s="7" t="s">
        <v>24</v>
      </c>
      <c r="J5" s="7" t="s">
        <v>26</v>
      </c>
      <c r="K5" s="7" t="s">
        <v>28</v>
      </c>
      <c r="L5" s="7" t="s">
        <v>29</v>
      </c>
      <c r="M5" s="7" t="s">
        <v>30</v>
      </c>
      <c r="N5" s="7" t="s">
        <v>31</v>
      </c>
      <c r="O5" s="7" t="s">
        <v>42</v>
      </c>
      <c r="P5" s="7" t="s">
        <v>43</v>
      </c>
      <c r="Q5" s="7" t="s">
        <v>44</v>
      </c>
    </row>
    <row r="6" spans="2:17">
      <c r="B6" s="14" t="s">
        <v>45</v>
      </c>
      <c r="C6" s="10">
        <v>64.01000000000001</v>
      </c>
      <c r="D6" s="14" t="s">
        <v>33</v>
      </c>
      <c r="E6" s="10">
        <v>64.01000000000001</v>
      </c>
      <c r="F6" s="14" t="s">
        <v>33</v>
      </c>
      <c r="G6" s="14" t="s">
        <v>33</v>
      </c>
      <c r="H6" s="14" t="s">
        <v>46</v>
      </c>
      <c r="I6" s="10">
        <v>14.51</v>
      </c>
      <c r="J6" s="10">
        <v>12.64</v>
      </c>
      <c r="K6" s="10">
        <v>12.5</v>
      </c>
      <c r="L6" s="10">
        <v>8.039999999999999</v>
      </c>
      <c r="M6" s="10">
        <v>8.52</v>
      </c>
      <c r="N6" s="10">
        <v>7.8</v>
      </c>
      <c r="O6" s="10">
        <v>1191.44</v>
      </c>
      <c r="P6" s="14" t="s">
        <v>47</v>
      </c>
      <c r="Q6" s="11">
        <v>0.182224870744645</v>
      </c>
    </row>
    <row r="7" spans="2:17">
      <c r="B7" s="14" t="s">
        <v>48</v>
      </c>
      <c r="C7" s="10">
        <v>55.19</v>
      </c>
      <c r="D7" s="14" t="s">
        <v>33</v>
      </c>
      <c r="E7" s="10">
        <v>55.19</v>
      </c>
      <c r="F7" s="14" t="s">
        <v>33</v>
      </c>
      <c r="G7" s="14" t="s">
        <v>33</v>
      </c>
      <c r="H7" s="14" t="s">
        <v>46</v>
      </c>
      <c r="I7" s="10">
        <v>12.05</v>
      </c>
      <c r="J7" s="10">
        <v>11.06</v>
      </c>
      <c r="K7" s="10">
        <v>12.32</v>
      </c>
      <c r="L7" s="10">
        <v>8.460000000000001</v>
      </c>
      <c r="M7" s="10">
        <v>3.89</v>
      </c>
      <c r="N7" s="10">
        <v>7.41</v>
      </c>
      <c r="O7" s="10">
        <v>1408.55</v>
      </c>
      <c r="P7" s="11">
        <v>0.182224870744645</v>
      </c>
      <c r="Q7" s="11">
        <v>-0.04720457207766848</v>
      </c>
    </row>
    <row r="8" spans="2:17">
      <c r="B8" s="14" t="s">
        <v>49</v>
      </c>
      <c r="C8" s="10">
        <v>54.94</v>
      </c>
      <c r="D8" s="14" t="s">
        <v>33</v>
      </c>
      <c r="E8" s="10">
        <v>54.94</v>
      </c>
      <c r="F8" s="14" t="s">
        <v>33</v>
      </c>
      <c r="G8" s="14" t="s">
        <v>33</v>
      </c>
      <c r="H8" s="14" t="s">
        <v>46</v>
      </c>
      <c r="I8" s="10">
        <v>12.37</v>
      </c>
      <c r="J8" s="10">
        <v>11.69</v>
      </c>
      <c r="K8" s="10">
        <v>12.48</v>
      </c>
      <c r="L8" s="10">
        <v>9.289999999999999</v>
      </c>
      <c r="M8" s="10">
        <v>3.25</v>
      </c>
      <c r="N8" s="10">
        <v>5.86</v>
      </c>
      <c r="O8" s="10">
        <v>1342.06</v>
      </c>
      <c r="P8" s="11">
        <v>-0.04720457207766848</v>
      </c>
      <c r="Q8" s="11">
        <v>0.1164031414392799</v>
      </c>
    </row>
    <row r="9" spans="2:17">
      <c r="B9" s="14" t="s">
        <v>50</v>
      </c>
      <c r="C9" s="10">
        <v>52.61</v>
      </c>
      <c r="D9" s="14" t="s">
        <v>33</v>
      </c>
      <c r="E9" s="10">
        <v>52.61</v>
      </c>
      <c r="F9" s="14" t="s">
        <v>33</v>
      </c>
      <c r="G9" s="14" t="s">
        <v>33</v>
      </c>
      <c r="H9" s="14" t="s">
        <v>46</v>
      </c>
      <c r="I9" s="10">
        <v>12.99</v>
      </c>
      <c r="J9" s="10">
        <v>11.9</v>
      </c>
      <c r="K9" s="10">
        <v>11.76</v>
      </c>
      <c r="L9" s="10">
        <v>7.94</v>
      </c>
      <c r="M9" s="10">
        <v>3.04</v>
      </c>
      <c r="N9" s="10">
        <v>4.98</v>
      </c>
      <c r="O9" s="10">
        <v>1498.28</v>
      </c>
      <c r="P9" s="11">
        <v>0.1164031414392799</v>
      </c>
      <c r="Q9" s="11">
        <v>-0.004091358090610453</v>
      </c>
    </row>
    <row r="10" spans="2:17">
      <c r="B10" s="14" t="s">
        <v>51</v>
      </c>
      <c r="C10" s="10">
        <v>60.76</v>
      </c>
      <c r="D10" s="14" t="s">
        <v>33</v>
      </c>
      <c r="E10" s="10">
        <v>62.17</v>
      </c>
      <c r="F10" s="14" t="s">
        <v>33</v>
      </c>
      <c r="G10" s="14" t="s">
        <v>52</v>
      </c>
      <c r="H10" s="14" t="s">
        <v>53</v>
      </c>
      <c r="I10" s="10">
        <v>12.54</v>
      </c>
      <c r="J10" s="10">
        <v>12.85</v>
      </c>
      <c r="K10" s="10">
        <v>12.46</v>
      </c>
      <c r="L10" s="10">
        <v>8.039999999999999</v>
      </c>
      <c r="M10" s="10">
        <v>7.91</v>
      </c>
      <c r="N10" s="10">
        <v>6.96</v>
      </c>
      <c r="O10" s="10">
        <v>1492.15</v>
      </c>
      <c r="P10" s="11">
        <v>-0.004091358090610453</v>
      </c>
      <c r="Q10" s="11">
        <v>-0.197399725228697</v>
      </c>
    </row>
    <row r="11" spans="2:17">
      <c r="B11" s="14" t="s">
        <v>54</v>
      </c>
      <c r="C11" s="10">
        <v>50</v>
      </c>
      <c r="D11" s="14" t="s">
        <v>33</v>
      </c>
      <c r="E11" s="10">
        <v>26.12</v>
      </c>
      <c r="F11" s="14" t="s">
        <v>55</v>
      </c>
      <c r="G11" s="14" t="s">
        <v>10</v>
      </c>
      <c r="H11" s="14" t="s">
        <v>46</v>
      </c>
      <c r="I11" s="10">
        <v>11.73</v>
      </c>
      <c r="J11" s="10">
        <v>11.22</v>
      </c>
      <c r="K11" s="10">
        <v>11.97</v>
      </c>
      <c r="L11" s="10">
        <v>7.71</v>
      </c>
      <c r="M11" s="10">
        <v>2.68</v>
      </c>
      <c r="N11" s="10">
        <v>4.69</v>
      </c>
      <c r="O11" s="10">
        <v>1197.6</v>
      </c>
      <c r="P11" s="11">
        <v>-0.197399725228697</v>
      </c>
      <c r="Q11" s="11">
        <v>-0.05468436873747495</v>
      </c>
    </row>
    <row r="12" spans="2:17">
      <c r="B12" s="14" t="s">
        <v>56</v>
      </c>
      <c r="C12" s="10">
        <v>51.07</v>
      </c>
      <c r="D12" s="14" t="s">
        <v>33</v>
      </c>
      <c r="E12" s="10">
        <v>35.08</v>
      </c>
      <c r="F12" s="14" t="s">
        <v>57</v>
      </c>
      <c r="G12" s="14" t="s">
        <v>10</v>
      </c>
      <c r="H12" s="14" t="s">
        <v>58</v>
      </c>
      <c r="I12" s="10">
        <v>11.49</v>
      </c>
      <c r="J12" s="10">
        <v>11.23</v>
      </c>
      <c r="K12" s="10">
        <v>8.5</v>
      </c>
      <c r="L12" s="10">
        <v>8.779999999999999</v>
      </c>
      <c r="M12" s="10">
        <v>7.08</v>
      </c>
      <c r="N12" s="10">
        <v>3.99</v>
      </c>
      <c r="O12" s="10">
        <v>1132.11</v>
      </c>
      <c r="P12" s="11">
        <v>-0.05468436873747495</v>
      </c>
      <c r="Q12" s="11">
        <v>-0.1104309651888949</v>
      </c>
    </row>
    <row r="13" spans="2:17">
      <c r="B13" s="14" t="s">
        <v>59</v>
      </c>
      <c r="C13" s="10">
        <v>45.8</v>
      </c>
      <c r="D13" s="14" t="s">
        <v>57</v>
      </c>
      <c r="E13" s="10">
        <v>21.68</v>
      </c>
      <c r="F13" s="14" t="s">
        <v>55</v>
      </c>
      <c r="G13" s="14" t="s">
        <v>10</v>
      </c>
      <c r="H13" s="14" t="s">
        <v>53</v>
      </c>
      <c r="I13" s="10">
        <v>9.34</v>
      </c>
      <c r="J13" s="10">
        <v>10.07</v>
      </c>
      <c r="K13" s="10">
        <v>9.800000000000001</v>
      </c>
      <c r="L13" s="10">
        <v>8.220000000000001</v>
      </c>
      <c r="M13" s="10">
        <v>3.67</v>
      </c>
      <c r="N13" s="10">
        <v>4.7</v>
      </c>
      <c r="O13" s="10">
        <v>1007.09</v>
      </c>
      <c r="P13" s="11">
        <v>-0.1104309651888949</v>
      </c>
      <c r="Q13" s="11">
        <v>0.05714484306268552</v>
      </c>
    </row>
    <row r="14" spans="2:17">
      <c r="B14" s="14" t="s">
        <v>60</v>
      </c>
      <c r="C14" s="10">
        <v>54.29</v>
      </c>
      <c r="D14" s="14" t="s">
        <v>33</v>
      </c>
      <c r="E14" s="10">
        <v>49.98</v>
      </c>
      <c r="F14" s="14" t="s">
        <v>33</v>
      </c>
      <c r="G14" s="14" t="s">
        <v>33</v>
      </c>
      <c r="H14" s="14" t="s">
        <v>53</v>
      </c>
      <c r="I14" s="10">
        <v>12.48</v>
      </c>
      <c r="J14" s="10">
        <v>10.41</v>
      </c>
      <c r="K14" s="10">
        <v>10.74</v>
      </c>
      <c r="L14" s="10">
        <v>8.31</v>
      </c>
      <c r="M14" s="10">
        <v>6.7</v>
      </c>
      <c r="N14" s="10">
        <v>5.65</v>
      </c>
      <c r="O14" s="10">
        <v>1064.64</v>
      </c>
      <c r="P14" s="11">
        <v>0.05714484306268552</v>
      </c>
      <c r="Q14" s="11">
        <v>0.05216786895100678</v>
      </c>
    </row>
    <row r="15" spans="2:17">
      <c r="B15" s="14" t="s">
        <v>61</v>
      </c>
      <c r="C15" s="10">
        <v>56.39</v>
      </c>
      <c r="D15" s="14" t="s">
        <v>33</v>
      </c>
      <c r="E15" s="10">
        <v>55.72</v>
      </c>
      <c r="F15" s="14" t="s">
        <v>33</v>
      </c>
      <c r="G15" s="14" t="s">
        <v>33</v>
      </c>
      <c r="H15" s="14" t="s">
        <v>53</v>
      </c>
      <c r="I15" s="10">
        <v>14</v>
      </c>
      <c r="J15" s="10">
        <v>11.49</v>
      </c>
      <c r="K15" s="10">
        <v>11.46</v>
      </c>
      <c r="L15" s="10">
        <v>8.19</v>
      </c>
      <c r="M15" s="10">
        <v>6.86</v>
      </c>
      <c r="N15" s="10">
        <v>4.39</v>
      </c>
      <c r="O15" s="10">
        <v>1120.18</v>
      </c>
      <c r="P15" s="11">
        <v>0.05216786895100678</v>
      </c>
      <c r="Q15" s="11">
        <v>0.03032548340445285</v>
      </c>
    </row>
    <row r="16" spans="2:17">
      <c r="B16" s="14" t="s">
        <v>62</v>
      </c>
      <c r="C16" s="10">
        <v>60.22</v>
      </c>
      <c r="D16" s="14" t="s">
        <v>33</v>
      </c>
      <c r="E16" s="10">
        <v>66.42</v>
      </c>
      <c r="F16" s="14" t="s">
        <v>63</v>
      </c>
      <c r="G16" s="14" t="s">
        <v>52</v>
      </c>
      <c r="H16" s="14" t="s">
        <v>53</v>
      </c>
      <c r="I16" s="10">
        <v>12.77</v>
      </c>
      <c r="J16" s="10">
        <v>11.45</v>
      </c>
      <c r="K16" s="10">
        <v>14.5</v>
      </c>
      <c r="L16" s="10">
        <v>8.369999999999999</v>
      </c>
      <c r="M16" s="10">
        <v>6.77</v>
      </c>
      <c r="N16" s="10">
        <v>6.36</v>
      </c>
      <c r="O16" s="10">
        <v>1154.15</v>
      </c>
      <c r="P16" s="11">
        <v>0.03032548340445285</v>
      </c>
      <c r="Q16" s="11">
        <v>-0.0209851405796474</v>
      </c>
    </row>
    <row r="17" spans="2:17">
      <c r="B17" s="14" t="s">
        <v>64</v>
      </c>
      <c r="C17" s="10">
        <v>53.57</v>
      </c>
      <c r="D17" s="14" t="s">
        <v>33</v>
      </c>
      <c r="E17" s="10">
        <v>45.84</v>
      </c>
      <c r="F17" s="14" t="s">
        <v>57</v>
      </c>
      <c r="G17" s="14" t="s">
        <v>33</v>
      </c>
      <c r="H17" s="14" t="s">
        <v>46</v>
      </c>
      <c r="I17" s="10">
        <v>13.95</v>
      </c>
      <c r="J17" s="10">
        <v>9.630000000000001</v>
      </c>
      <c r="K17" s="10">
        <v>12.4</v>
      </c>
      <c r="L17" s="10">
        <v>8.23</v>
      </c>
      <c r="M17" s="10">
        <v>3.36</v>
      </c>
      <c r="N17" s="10">
        <v>6</v>
      </c>
      <c r="O17" s="10">
        <v>1129.93</v>
      </c>
      <c r="P17" s="11">
        <v>-0.0209851405796474</v>
      </c>
      <c r="Q17" s="11">
        <v>0.136433230377103</v>
      </c>
    </row>
    <row r="18" spans="2:17">
      <c r="B18" s="14" t="s">
        <v>65</v>
      </c>
      <c r="C18" s="10">
        <v>52.15</v>
      </c>
      <c r="D18" s="14" t="s">
        <v>33</v>
      </c>
      <c r="E18" s="10">
        <v>41.76</v>
      </c>
      <c r="F18" s="14" t="s">
        <v>57</v>
      </c>
      <c r="G18" s="14" t="s">
        <v>33</v>
      </c>
      <c r="H18" s="14" t="s">
        <v>58</v>
      </c>
      <c r="I18" s="10">
        <v>16.31</v>
      </c>
      <c r="J18" s="10">
        <v>4</v>
      </c>
      <c r="K18" s="10">
        <v>12.94</v>
      </c>
      <c r="L18" s="10">
        <v>8.06</v>
      </c>
      <c r="M18" s="10">
        <v>6.76</v>
      </c>
      <c r="N18" s="10">
        <v>4.08</v>
      </c>
      <c r="O18" s="10">
        <v>1284.09</v>
      </c>
      <c r="P18" s="11">
        <v>0.136433230377103</v>
      </c>
      <c r="Q18" s="11">
        <v>-0.03019258774696476</v>
      </c>
    </row>
    <row r="19" spans="2:17">
      <c r="B19" s="14" t="s">
        <v>66</v>
      </c>
      <c r="C19" s="10">
        <v>56.26</v>
      </c>
      <c r="D19" s="14" t="s">
        <v>33</v>
      </c>
      <c r="E19" s="10">
        <v>54.84</v>
      </c>
      <c r="F19" s="14" t="s">
        <v>33</v>
      </c>
      <c r="G19" s="14" t="s">
        <v>33</v>
      </c>
      <c r="H19" s="14" t="s">
        <v>53</v>
      </c>
      <c r="I19" s="10">
        <v>14.83</v>
      </c>
      <c r="J19" s="10">
        <v>10.05</v>
      </c>
      <c r="K19" s="10">
        <v>10.29</v>
      </c>
      <c r="L19" s="10">
        <v>8.210000000000001</v>
      </c>
      <c r="M19" s="10">
        <v>6.96</v>
      </c>
      <c r="N19" s="10">
        <v>5.92</v>
      </c>
      <c r="O19" s="10">
        <v>1245.32</v>
      </c>
      <c r="P19" s="11">
        <v>-0.03019258774696476</v>
      </c>
      <c r="Q19" s="11">
        <v>0.0342241351620467</v>
      </c>
    </row>
    <row r="20" spans="2:17">
      <c r="B20" s="14" t="s">
        <v>67</v>
      </c>
      <c r="C20" s="10">
        <v>54.14</v>
      </c>
      <c r="D20" s="14" t="s">
        <v>33</v>
      </c>
      <c r="E20" s="10">
        <v>47.88</v>
      </c>
      <c r="F20" s="14" t="s">
        <v>57</v>
      </c>
      <c r="G20" s="14" t="s">
        <v>33</v>
      </c>
      <c r="H20" s="14" t="s">
        <v>46</v>
      </c>
      <c r="I20" s="10">
        <v>14.55</v>
      </c>
      <c r="J20" s="10">
        <v>10.86</v>
      </c>
      <c r="K20" s="10">
        <v>8.470000000000001</v>
      </c>
      <c r="L20" s="10">
        <v>7.91</v>
      </c>
      <c r="M20" s="10">
        <v>7.53</v>
      </c>
      <c r="N20" s="10">
        <v>4.82</v>
      </c>
      <c r="O20" s="10">
        <v>1287.94</v>
      </c>
      <c r="P20" s="11">
        <v>0.0342241351620467</v>
      </c>
      <c r="Q20" s="11">
        <v>-0.01642933677034653</v>
      </c>
    </row>
    <row r="21" spans="2:17">
      <c r="B21" s="14" t="s">
        <v>68</v>
      </c>
      <c r="C21" s="10">
        <v>54.26</v>
      </c>
      <c r="D21" s="14" t="s">
        <v>33</v>
      </c>
      <c r="E21" s="10">
        <v>48.34</v>
      </c>
      <c r="F21" s="14" t="s">
        <v>57</v>
      </c>
      <c r="G21" s="14" t="s">
        <v>33</v>
      </c>
      <c r="H21" s="14" t="s">
        <v>53</v>
      </c>
      <c r="I21" s="10">
        <v>16.84</v>
      </c>
      <c r="J21" s="10">
        <v>10.9</v>
      </c>
      <c r="K21" s="10">
        <v>9.529999999999999</v>
      </c>
      <c r="L21" s="10">
        <v>7.95</v>
      </c>
      <c r="M21" s="10">
        <v>4.73</v>
      </c>
      <c r="N21" s="10">
        <v>4.31</v>
      </c>
      <c r="O21" s="10">
        <v>1266.78</v>
      </c>
      <c r="P21" s="11">
        <v>-0.01642933677034653</v>
      </c>
      <c r="Q21" s="11">
        <v>0.03163927438071323</v>
      </c>
    </row>
    <row r="22" spans="2:17">
      <c r="B22" s="14" t="s">
        <v>69</v>
      </c>
      <c r="C22" s="10">
        <v>51.77</v>
      </c>
      <c r="D22" s="14" t="s">
        <v>33</v>
      </c>
      <c r="E22" s="10">
        <v>39.85</v>
      </c>
      <c r="F22" s="14" t="s">
        <v>57</v>
      </c>
      <c r="G22" s="14" t="s">
        <v>33</v>
      </c>
      <c r="H22" s="14" t="s">
        <v>46</v>
      </c>
      <c r="I22" s="10">
        <v>14.59</v>
      </c>
      <c r="J22" s="10">
        <v>9.27</v>
      </c>
      <c r="K22" s="10">
        <v>8.31</v>
      </c>
      <c r="L22" s="10">
        <v>7.92</v>
      </c>
      <c r="M22" s="10">
        <v>7.01</v>
      </c>
      <c r="N22" s="10">
        <v>4.67</v>
      </c>
      <c r="O22" s="10">
        <v>1306.86</v>
      </c>
      <c r="P22" s="11">
        <v>0.03163927438071323</v>
      </c>
      <c r="Q22" s="11">
        <v>0.05295900096414319</v>
      </c>
    </row>
    <row r="23" spans="2:17">
      <c r="B23" s="14" t="s">
        <v>70</v>
      </c>
      <c r="C23" s="10">
        <v>51.63</v>
      </c>
      <c r="D23" s="14" t="s">
        <v>33</v>
      </c>
      <c r="E23" s="10">
        <v>39.78</v>
      </c>
      <c r="F23" s="14" t="s">
        <v>57</v>
      </c>
      <c r="G23" s="14" t="s">
        <v>33</v>
      </c>
      <c r="H23" s="14" t="s">
        <v>53</v>
      </c>
      <c r="I23" s="10">
        <v>14.58</v>
      </c>
      <c r="J23" s="10">
        <v>10.69</v>
      </c>
      <c r="K23" s="10">
        <v>7.97</v>
      </c>
      <c r="L23" s="10">
        <v>7.99</v>
      </c>
      <c r="M23" s="10">
        <v>4.67</v>
      </c>
      <c r="N23" s="10">
        <v>5.73</v>
      </c>
      <c r="O23" s="10">
        <v>1376.07</v>
      </c>
      <c r="P23" s="11">
        <v>0.05295900096414319</v>
      </c>
      <c r="Q23" s="11">
        <v>0.2075693823715363</v>
      </c>
    </row>
    <row r="24" spans="2:17">
      <c r="B24" s="14" t="s">
        <v>71</v>
      </c>
      <c r="C24" s="10">
        <v>55.24</v>
      </c>
      <c r="D24" s="14" t="s">
        <v>33</v>
      </c>
      <c r="E24" s="10">
        <v>53.01</v>
      </c>
      <c r="F24" s="14" t="s">
        <v>33</v>
      </c>
      <c r="G24" s="14" t="s">
        <v>33</v>
      </c>
      <c r="H24" s="14" t="s">
        <v>46</v>
      </c>
      <c r="I24" s="10">
        <v>13.39</v>
      </c>
      <c r="J24" s="10">
        <v>11.38</v>
      </c>
      <c r="K24" s="10">
        <v>8.1</v>
      </c>
      <c r="L24" s="10">
        <v>8.699999999999999</v>
      </c>
      <c r="M24" s="10">
        <v>6.97</v>
      </c>
      <c r="N24" s="10">
        <v>6.7</v>
      </c>
      <c r="O24" s="10">
        <v>1661.7</v>
      </c>
      <c r="P24" s="11">
        <v>0.2075693823715363</v>
      </c>
      <c r="Q24" s="11">
        <v>0.07389420473009567</v>
      </c>
    </row>
    <row r="25" spans="2:17">
      <c r="B25" s="14" t="s">
        <v>72</v>
      </c>
      <c r="C25" s="10">
        <v>52.6</v>
      </c>
      <c r="D25" s="14" t="s">
        <v>33</v>
      </c>
      <c r="E25" s="10">
        <v>43.29</v>
      </c>
      <c r="F25" s="14" t="s">
        <v>57</v>
      </c>
      <c r="G25" s="14" t="s">
        <v>33</v>
      </c>
      <c r="H25" s="14" t="s">
        <v>58</v>
      </c>
      <c r="I25" s="10">
        <v>13.06</v>
      </c>
      <c r="J25" s="10">
        <v>11.33</v>
      </c>
      <c r="K25" s="10">
        <v>5.95</v>
      </c>
      <c r="L25" s="10">
        <v>8.43</v>
      </c>
      <c r="M25" s="10">
        <v>6.92</v>
      </c>
      <c r="N25" s="10">
        <v>6.91</v>
      </c>
      <c r="O25" s="10">
        <v>1784.49</v>
      </c>
      <c r="P25" s="11">
        <v>0.07389420473009567</v>
      </c>
      <c r="Q25" s="11">
        <v>-0.06164226193478251</v>
      </c>
    </row>
    <row r="26" spans="2:17">
      <c r="B26" s="14" t="s">
        <v>73</v>
      </c>
      <c r="C26" s="10">
        <v>51.31</v>
      </c>
      <c r="D26" s="14" t="s">
        <v>33</v>
      </c>
      <c r="E26" s="10">
        <v>38.67</v>
      </c>
      <c r="F26" s="14" t="s">
        <v>57</v>
      </c>
      <c r="G26" s="14" t="s">
        <v>10</v>
      </c>
      <c r="H26" s="14" t="s">
        <v>58</v>
      </c>
      <c r="I26" s="10">
        <v>16.02</v>
      </c>
      <c r="J26" s="10">
        <v>11.84</v>
      </c>
      <c r="K26" s="10">
        <v>5.98</v>
      </c>
      <c r="L26" s="10">
        <v>8.609999999999999</v>
      </c>
      <c r="M26" s="10">
        <v>4.89</v>
      </c>
      <c r="N26" s="10">
        <v>3.97</v>
      </c>
      <c r="O26" s="10">
        <v>1674.49</v>
      </c>
      <c r="P26" s="11">
        <v>-0.06164226193478251</v>
      </c>
      <c r="Q26" s="11">
        <v>0.1107919426213355</v>
      </c>
    </row>
    <row r="27" spans="2:17">
      <c r="B27" s="14" t="s">
        <v>74</v>
      </c>
      <c r="C27" s="10">
        <v>46.38</v>
      </c>
      <c r="D27" s="14" t="s">
        <v>57</v>
      </c>
      <c r="E27" s="10">
        <v>20.48</v>
      </c>
      <c r="F27" s="14" t="s">
        <v>55</v>
      </c>
      <c r="G27" s="14" t="s">
        <v>10</v>
      </c>
      <c r="H27" s="14" t="s">
        <v>58</v>
      </c>
      <c r="I27" s="10">
        <v>11.71</v>
      </c>
      <c r="J27" s="10">
        <v>8.33</v>
      </c>
      <c r="K27" s="10">
        <v>4.69</v>
      </c>
      <c r="L27" s="10">
        <v>8.82</v>
      </c>
      <c r="M27" s="10">
        <v>7</v>
      </c>
      <c r="N27" s="10">
        <v>5.83</v>
      </c>
      <c r="O27" s="10">
        <v>1860.01</v>
      </c>
      <c r="P27" s="11">
        <v>0.1107919426213355</v>
      </c>
      <c r="Q27" s="11">
        <v>-0.0426503083316756</v>
      </c>
    </row>
    <row r="28" spans="2:17">
      <c r="B28" s="14" t="s">
        <v>75</v>
      </c>
      <c r="C28" s="10">
        <v>50.12</v>
      </c>
      <c r="D28" s="14" t="s">
        <v>33</v>
      </c>
      <c r="E28" s="10">
        <v>36.76</v>
      </c>
      <c r="F28" s="14" t="s">
        <v>57</v>
      </c>
      <c r="G28" s="14" t="s">
        <v>10</v>
      </c>
      <c r="H28" s="14" t="s">
        <v>58</v>
      </c>
      <c r="I28" s="10">
        <v>14.41</v>
      </c>
      <c r="J28" s="10">
        <v>8.99</v>
      </c>
      <c r="K28" s="10">
        <v>6.84</v>
      </c>
      <c r="L28" s="10">
        <v>8.609999999999999</v>
      </c>
      <c r="M28" s="10">
        <v>6.86</v>
      </c>
      <c r="N28" s="10">
        <v>4.41</v>
      </c>
      <c r="O28" s="10">
        <v>1780.68</v>
      </c>
      <c r="P28" s="11">
        <v>-0.0426503083316756</v>
      </c>
      <c r="Q28" s="14" t="s">
        <v>47</v>
      </c>
    </row>
    <row r="29" spans="2:17">
      <c r="B29" s="14" t="s">
        <v>76</v>
      </c>
      <c r="C29" s="10">
        <v>49.35</v>
      </c>
      <c r="D29" s="14" t="s">
        <v>33</v>
      </c>
      <c r="E29" s="10">
        <v>34.51</v>
      </c>
      <c r="F29" s="14" t="s">
        <v>33</v>
      </c>
      <c r="G29" s="14" t="s">
        <v>10</v>
      </c>
      <c r="H29" s="14" t="s">
        <v>58</v>
      </c>
      <c r="I29" s="10">
        <v>13.58</v>
      </c>
      <c r="J29" s="10">
        <v>7.44</v>
      </c>
      <c r="K29" s="10">
        <v>11.5</v>
      </c>
      <c r="L29" s="10">
        <v>8.24</v>
      </c>
      <c r="M29" s="10">
        <v>2.59</v>
      </c>
      <c r="N29" s="10">
        <v>6</v>
      </c>
      <c r="O29" s="14" t="s">
        <v>47</v>
      </c>
      <c r="P29" s="14" t="s">
        <v>47</v>
      </c>
      <c r="Q29" s="14" t="s">
        <v>47</v>
      </c>
    </row>
  </sheetData>
  <conditionalFormatting sqref="C6:C29">
    <cfRule type="colorScale" priority="1">
      <colorScale>
        <cfvo type="num" val="0"/>
        <cfvo type="num" val="50"/>
        <cfvo type="num" val="100"/>
        <color rgb="FFEF4444"/>
        <color rgb="FFFDE047"/>
        <color rgb="FF22C55E"/>
      </colorScale>
    </cfRule>
  </conditionalFormatting>
  <conditionalFormatting sqref="E6:E29">
    <cfRule type="colorScale" priority="2">
      <colorScale>
        <cfvo type="num" val="0"/>
        <cfvo type="num" val="50"/>
        <cfvo type="num" val="100"/>
        <color rgb="FFEF4444"/>
        <color rgb="FFFDE047"/>
        <color rgb="FF22C55E"/>
      </colorScale>
    </cfRule>
  </conditionalFormatting>
  <conditionalFormatting sqref="P6:Q29">
    <cfRule type="colorScale" priority="3">
      <colorScale>
        <cfvo type="num" val="-0.2"/>
        <cfvo type="num" val="0"/>
        <cfvo type="num" val="0.2"/>
        <color rgb="FFEF4444"/>
        <color rgb="FFFFFFFF"/>
        <color rgb="FF22C55E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B2:AA52"/>
  <sheetViews>
    <sheetView showGridLines="0" workbookViewId="0"/>
  </sheetViews>
  <sheetFormatPr defaultRowHeight="15" x14ac:dyDescent="0.25"/>
  <cols>
    <col min="1" max="1" width="2.7109375" customWidth="1"/>
    <col min="2" max="2" width="22.7109375" customWidth="1"/>
    <col min="3" max="26" width="10.7109375" customWidth="1"/>
    <col min="27" max="27" width="16.7109375" customWidth="1"/>
  </cols>
  <sheetData>
    <row r="2" spans="2:10" x14ac:dyDescent="0.25">
      <c r="B2" s="1" t="s">
        <v>77</v>
      </c>
    </row>
    <row r="3" spans="2:10" x14ac:dyDescent="0.25">
      <c r="B3" s="2" t="s">
        <v>78</v>
      </c>
    </row>
    <row r="5" spans="2:10" x14ac:dyDescent="0.25"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  <c r="G5" s="7" t="s">
        <v>84</v>
      </c>
      <c r="H5" s="7" t="s">
        <v>85</v>
      </c>
      <c r="I5" s="7" t="s">
        <v>86</v>
      </c>
      <c r="J5" s="7" t="s">
        <v>87</v>
      </c>
    </row>
    <row r="6" spans="2:10" x14ac:dyDescent="0.25">
      <c r="B6" s="8" t="s">
        <v>88</v>
      </c>
      <c r="C6" s="15">
        <v>-0.036358</v>
      </c>
      <c r="D6" s="16">
        <v>0.0278</v>
      </c>
      <c r="E6" s="14" t="s">
        <v>89</v>
      </c>
      <c r="F6" s="14" t="s">
        <v>90</v>
      </c>
      <c r="G6" s="14" t="s">
        <v>90</v>
      </c>
      <c r="H6" s="17" t="s">
        <v>91</v>
      </c>
      <c r="I6" s="14">
        <v>1</v>
      </c>
      <c r="J6" s="18" t="s">
        <v>92</v>
      </c>
    </row>
    <row r="7" spans="2:10" x14ac:dyDescent="0.25">
      <c r="B7" s="8" t="s">
        <v>93</v>
      </c>
      <c r="C7" s="15">
        <v>0.000137</v>
      </c>
      <c r="D7" s="16">
        <v>0.9441000000000001</v>
      </c>
      <c r="E7" s="14" t="s">
        <v>94</v>
      </c>
      <c r="F7" s="14" t="s">
        <v>90</v>
      </c>
      <c r="G7" s="14" t="s">
        <v>95</v>
      </c>
      <c r="H7" s="13" t="s">
        <v>96</v>
      </c>
      <c r="I7" s="14">
        <v>10</v>
      </c>
      <c r="J7" s="18" t="s">
        <v>97</v>
      </c>
    </row>
    <row r="8" spans="2:10" x14ac:dyDescent="0.25">
      <c r="B8" s="8" t="s">
        <v>98</v>
      </c>
      <c r="C8" s="15">
        <v>-0.032628</v>
      </c>
      <c r="D8" s="16">
        <v>0.0592</v>
      </c>
      <c r="E8" s="14" t="s">
        <v>99</v>
      </c>
      <c r="F8" s="14" t="s">
        <v>95</v>
      </c>
      <c r="G8" s="14" t="s">
        <v>90</v>
      </c>
      <c r="H8" s="13" t="s">
        <v>96</v>
      </c>
      <c r="I8" s="14">
        <v>2</v>
      </c>
      <c r="J8" s="18" t="s">
        <v>100</v>
      </c>
    </row>
    <row r="9" spans="2:10" x14ac:dyDescent="0.25">
      <c r="B9" s="8" t="s">
        <v>101</v>
      </c>
      <c r="C9" s="15">
        <v>-0.002719</v>
      </c>
      <c r="D9" s="16">
        <v>0.7492</v>
      </c>
      <c r="E9" s="14" t="s">
        <v>94</v>
      </c>
      <c r="F9" s="14" t="s">
        <v>102</v>
      </c>
      <c r="G9" s="14" t="s">
        <v>90</v>
      </c>
      <c r="H9" s="13" t="s">
        <v>96</v>
      </c>
      <c r="I9" s="14">
        <v>7</v>
      </c>
      <c r="J9" s="18" t="s">
        <v>103</v>
      </c>
    </row>
    <row r="10" spans="2:10" x14ac:dyDescent="0.25">
      <c r="B10" s="8" t="s">
        <v>104</v>
      </c>
      <c r="C10" s="15">
        <v>9.899999999999999E-05</v>
      </c>
      <c r="D10" s="16">
        <v>0.0223</v>
      </c>
      <c r="E10" s="14" t="s">
        <v>89</v>
      </c>
      <c r="F10" s="14" t="s">
        <v>102</v>
      </c>
      <c r="G10" s="14" t="s">
        <v>95</v>
      </c>
      <c r="H10" s="13" t="s">
        <v>96</v>
      </c>
      <c r="I10" s="14">
        <v>11</v>
      </c>
      <c r="J10" s="18" t="s">
        <v>105</v>
      </c>
    </row>
    <row r="11" spans="2:10" x14ac:dyDescent="0.25">
      <c r="B11" s="8" t="s">
        <v>106</v>
      </c>
      <c r="C11" s="15">
        <v>-8.000000000000001E-05</v>
      </c>
      <c r="D11" s="16">
        <v>0.2363</v>
      </c>
      <c r="E11" s="14" t="s">
        <v>94</v>
      </c>
      <c r="F11" s="14" t="s">
        <v>102</v>
      </c>
      <c r="G11" s="14" t="s">
        <v>90</v>
      </c>
      <c r="H11" s="13" t="s">
        <v>96</v>
      </c>
      <c r="I11" s="14">
        <v>12</v>
      </c>
      <c r="J11" s="18" t="s">
        <v>107</v>
      </c>
    </row>
    <row r="12" spans="2:10" x14ac:dyDescent="0.25">
      <c r="B12" s="8" t="s">
        <v>108</v>
      </c>
      <c r="C12" s="15">
        <v>-0.000221</v>
      </c>
      <c r="D12" s="16">
        <v>0.8799</v>
      </c>
      <c r="E12" s="14" t="s">
        <v>94</v>
      </c>
      <c r="F12" s="14" t="s">
        <v>102</v>
      </c>
      <c r="G12" s="14" t="s">
        <v>90</v>
      </c>
      <c r="H12" s="13" t="s">
        <v>96</v>
      </c>
      <c r="I12" s="14">
        <v>9</v>
      </c>
      <c r="J12" s="18" t="s">
        <v>109</v>
      </c>
    </row>
    <row r="13" spans="2:10" x14ac:dyDescent="0.25">
      <c r="B13" s="8" t="s">
        <v>110</v>
      </c>
      <c r="C13" s="15">
        <v>-0.002852</v>
      </c>
      <c r="D13" s="16">
        <v>0.3781</v>
      </c>
      <c r="E13" s="14" t="s">
        <v>94</v>
      </c>
      <c r="F13" s="14" t="s">
        <v>102</v>
      </c>
      <c r="G13" s="14" t="s">
        <v>90</v>
      </c>
      <c r="H13" s="13" t="s">
        <v>96</v>
      </c>
      <c r="I13" s="14">
        <v>6</v>
      </c>
      <c r="J13" s="18" t="s">
        <v>111</v>
      </c>
    </row>
    <row r="14" spans="2:10" x14ac:dyDescent="0.25">
      <c r="B14" s="8" t="s">
        <v>112</v>
      </c>
      <c r="C14" s="15">
        <v>-0.029501</v>
      </c>
      <c r="D14" s="16">
        <v>0.0005999999999999999</v>
      </c>
      <c r="E14" s="14" t="s">
        <v>113</v>
      </c>
      <c r="F14" s="14" t="s">
        <v>102</v>
      </c>
      <c r="G14" s="14" t="s">
        <v>90</v>
      </c>
      <c r="H14" s="13" t="s">
        <v>96</v>
      </c>
      <c r="I14" s="14">
        <v>3</v>
      </c>
      <c r="J14" s="18" t="s">
        <v>114</v>
      </c>
    </row>
    <row r="15" spans="2:10" x14ac:dyDescent="0.25">
      <c r="B15" s="8" t="s">
        <v>115</v>
      </c>
      <c r="C15" s="15">
        <v>0.006628</v>
      </c>
      <c r="D15" s="16">
        <v>0.08939999999999999</v>
      </c>
      <c r="E15" s="14" t="s">
        <v>99</v>
      </c>
      <c r="F15" s="14" t="s">
        <v>102</v>
      </c>
      <c r="G15" s="14" t="s">
        <v>95</v>
      </c>
      <c r="H15" s="13" t="s">
        <v>96</v>
      </c>
      <c r="I15" s="14">
        <v>4</v>
      </c>
      <c r="J15" s="18" t="s">
        <v>116</v>
      </c>
    </row>
    <row r="16" spans="2:10" x14ac:dyDescent="0.25">
      <c r="B16" s="8" t="s">
        <v>117</v>
      </c>
      <c r="C16" s="15">
        <v>-0.005037</v>
      </c>
      <c r="D16" s="16">
        <v>0.2276</v>
      </c>
      <c r="E16" s="14" t="s">
        <v>94</v>
      </c>
      <c r="F16" s="14" t="s">
        <v>102</v>
      </c>
      <c r="G16" s="14" t="s">
        <v>90</v>
      </c>
      <c r="H16" s="13" t="s">
        <v>96</v>
      </c>
      <c r="I16" s="14">
        <v>5</v>
      </c>
      <c r="J16" s="18" t="s">
        <v>118</v>
      </c>
    </row>
    <row r="17" spans="2:10" x14ac:dyDescent="0.25">
      <c r="B17" s="8" t="s">
        <v>119</v>
      </c>
      <c r="C17" s="15">
        <v>-0.000575</v>
      </c>
      <c r="D17" s="16">
        <v>0.8627</v>
      </c>
      <c r="E17" s="14" t="s">
        <v>94</v>
      </c>
      <c r="F17" s="14" t="s">
        <v>102</v>
      </c>
      <c r="G17" s="14" t="s">
        <v>90</v>
      </c>
      <c r="H17" s="13" t="s">
        <v>96</v>
      </c>
      <c r="I17" s="14">
        <v>8</v>
      </c>
      <c r="J17" s="18" t="s">
        <v>120</v>
      </c>
    </row>
    <row r="19" spans="2:10" x14ac:dyDescent="0.25">
      <c r="B19" s="4" t="s">
        <v>121</v>
      </c>
      <c r="C19" s="5" t="s">
        <v>122</v>
      </c>
    </row>
    <row r="39" spans="2:27" x14ac:dyDescent="0.25">
      <c r="B39" s="6" t="s">
        <v>123</v>
      </c>
    </row>
    <row r="40" spans="2:27" x14ac:dyDescent="0.25">
      <c r="B40" s="7" t="s">
        <v>79</v>
      </c>
      <c r="C40" s="7" t="s">
        <v>45</v>
      </c>
      <c r="D40" s="7" t="s">
        <v>48</v>
      </c>
      <c r="E40" s="7" t="s">
        <v>49</v>
      </c>
      <c r="F40" s="7" t="s">
        <v>50</v>
      </c>
      <c r="G40" s="7" t="s">
        <v>51</v>
      </c>
      <c r="H40" s="7" t="s">
        <v>54</v>
      </c>
      <c r="I40" s="7" t="s">
        <v>56</v>
      </c>
      <c r="J40" s="7" t="s">
        <v>59</v>
      </c>
      <c r="K40" s="7" t="s">
        <v>60</v>
      </c>
      <c r="L40" s="7" t="s">
        <v>61</v>
      </c>
      <c r="M40" s="7" t="s">
        <v>62</v>
      </c>
      <c r="N40" s="7" t="s">
        <v>64</v>
      </c>
      <c r="O40" s="7" t="s">
        <v>65</v>
      </c>
      <c r="P40" s="7" t="s">
        <v>66</v>
      </c>
      <c r="Q40" s="7" t="s">
        <v>67</v>
      </c>
      <c r="R40" s="7" t="s">
        <v>68</v>
      </c>
      <c r="S40" s="7" t="s">
        <v>69</v>
      </c>
      <c r="T40" s="7" t="s">
        <v>70</v>
      </c>
      <c r="U40" s="7" t="s">
        <v>71</v>
      </c>
      <c r="V40" s="7" t="s">
        <v>72</v>
      </c>
      <c r="W40" s="7" t="s">
        <v>73</v>
      </c>
      <c r="X40" s="7" t="s">
        <v>74</v>
      </c>
      <c r="Y40" s="7" t="s">
        <v>75</v>
      </c>
      <c r="Z40" s="7" t="s">
        <v>76</v>
      </c>
      <c r="AA40" s="7" t="s">
        <v>124</v>
      </c>
    </row>
    <row r="41" spans="2:27" x14ac:dyDescent="0.25">
      <c r="B41" s="8" t="s">
        <v>88</v>
      </c>
      <c r="C41" s="16">
        <v>0.050404</v>
      </c>
      <c r="D41" s="16">
        <v>0.006624</v>
      </c>
      <c r="E41" s="16">
        <v>0.013965</v>
      </c>
      <c r="F41" s="16">
        <v>0.006474</v>
      </c>
      <c r="G41" s="16">
        <v>0.002148</v>
      </c>
      <c r="H41" s="16">
        <v>-0.004712</v>
      </c>
      <c r="I41" s="16">
        <v>-0.016656</v>
      </c>
      <c r="J41" s="16">
        <v>-0.016362</v>
      </c>
      <c r="K41" s="16">
        <v>-0.020037</v>
      </c>
      <c r="L41" s="16">
        <v>-0.012647</v>
      </c>
      <c r="M41" s="16">
        <v>-0.023677</v>
      </c>
      <c r="N41" s="16">
        <v>-0.018202</v>
      </c>
      <c r="O41" s="16">
        <v>-0.03138</v>
      </c>
      <c r="P41" s="16">
        <v>-0.034724</v>
      </c>
      <c r="Q41" s="16">
        <v>-0.03524</v>
      </c>
      <c r="R41" s="16">
        <v>-0.034191</v>
      </c>
      <c r="S41" s="16">
        <v>-0.029253</v>
      </c>
      <c r="T41" s="16">
        <v>-0.036504</v>
      </c>
      <c r="U41" s="16">
        <v>-0.037081</v>
      </c>
      <c r="V41" s="16">
        <v>-0.036758</v>
      </c>
      <c r="W41" s="16">
        <v>-0.035163</v>
      </c>
      <c r="X41" s="16">
        <v>-0.036565</v>
      </c>
      <c r="Y41" s="16">
        <v>-0.035193</v>
      </c>
      <c r="Z41" s="16">
        <v>-0.036358</v>
      </c>
      <c r="AA41" s="9">
        <v>0.7916666666666666</v>
      </c>
    </row>
    <row r="42" spans="2:27" x14ac:dyDescent="0.25">
      <c r="B42" s="8" t="s">
        <v>93</v>
      </c>
      <c r="C42" s="16">
        <v>0.006803</v>
      </c>
      <c r="D42" s="16">
        <v>0.007754</v>
      </c>
      <c r="E42" s="16">
        <v>0.007541</v>
      </c>
      <c r="F42" s="16">
        <v>0.00665</v>
      </c>
      <c r="G42" s="16">
        <v>0.006591</v>
      </c>
      <c r="H42" s="16">
        <v>0.006584</v>
      </c>
      <c r="I42" s="16">
        <v>0.007067</v>
      </c>
      <c r="J42" s="16">
        <v>0.007084</v>
      </c>
      <c r="K42" s="16">
        <v>0.00689</v>
      </c>
      <c r="L42" s="16">
        <v>0.006287</v>
      </c>
      <c r="M42" s="16">
        <v>0.003754</v>
      </c>
      <c r="N42" s="16">
        <v>0.002628</v>
      </c>
      <c r="O42" s="16">
        <v>0.000961</v>
      </c>
      <c r="P42" s="16">
        <v>2E-06</v>
      </c>
      <c r="Q42" s="16">
        <v>0.000215</v>
      </c>
      <c r="R42" s="16">
        <v>0.000127</v>
      </c>
      <c r="S42" s="16">
        <v>0.000223</v>
      </c>
      <c r="T42" s="16">
        <v>0.000407</v>
      </c>
      <c r="U42" s="16">
        <v>9.7E-05</v>
      </c>
      <c r="V42" s="16">
        <v>1.2E-05</v>
      </c>
      <c r="W42" s="16">
        <v>6.8E-05</v>
      </c>
      <c r="X42" s="16">
        <v>1E-05</v>
      </c>
      <c r="Y42" s="16">
        <v>0.000131</v>
      </c>
      <c r="Z42" s="16">
        <v>0.000137</v>
      </c>
      <c r="AA42" s="9">
        <v>1</v>
      </c>
    </row>
    <row r="43" spans="2:27" x14ac:dyDescent="0.25">
      <c r="B43" s="8" t="s">
        <v>98</v>
      </c>
      <c r="C43" s="16">
        <v>0.033473</v>
      </c>
      <c r="D43" s="16">
        <v>0.022516</v>
      </c>
      <c r="E43" s="16">
        <v>0.01748</v>
      </c>
      <c r="F43" s="16">
        <v>0.011213</v>
      </c>
      <c r="G43" s="16">
        <v>0.010198</v>
      </c>
      <c r="H43" s="16">
        <v>0.011903</v>
      </c>
      <c r="I43" s="16">
        <v>0.013569</v>
      </c>
      <c r="J43" s="16">
        <v>0.016083</v>
      </c>
      <c r="K43" s="16">
        <v>0.019138</v>
      </c>
      <c r="L43" s="16">
        <v>0.018489</v>
      </c>
      <c r="M43" s="16">
        <v>-0.013591</v>
      </c>
      <c r="N43" s="16">
        <v>-0.022457</v>
      </c>
      <c r="O43" s="16">
        <v>-0.034347</v>
      </c>
      <c r="P43" s="16">
        <v>-0.035499</v>
      </c>
      <c r="Q43" s="16">
        <v>-0.036478</v>
      </c>
      <c r="R43" s="16">
        <v>-0.034911</v>
      </c>
      <c r="S43" s="16">
        <v>-0.02986</v>
      </c>
      <c r="T43" s="16">
        <v>-0.033047</v>
      </c>
      <c r="U43" s="16">
        <v>-0.033622</v>
      </c>
      <c r="V43" s="16">
        <v>-0.031625</v>
      </c>
      <c r="W43" s="16">
        <v>-0.032236</v>
      </c>
      <c r="X43" s="16">
        <v>-0.030806</v>
      </c>
      <c r="Y43" s="16">
        <v>-0.030603</v>
      </c>
      <c r="Z43" s="16">
        <v>-0.032628</v>
      </c>
      <c r="AA43" s="9">
        <v>0.5833333333333334</v>
      </c>
    </row>
    <row r="44" spans="2:27" x14ac:dyDescent="0.25">
      <c r="B44" s="8" t="s">
        <v>101</v>
      </c>
      <c r="C44" s="16">
        <v>0.005801</v>
      </c>
      <c r="D44" s="16">
        <v>0.004894</v>
      </c>
      <c r="E44" s="16">
        <v>0.005028</v>
      </c>
      <c r="F44" s="16">
        <v>0.006399</v>
      </c>
      <c r="G44" s="16">
        <v>0.004831</v>
      </c>
      <c r="H44" s="16">
        <v>0.006396</v>
      </c>
      <c r="I44" s="16">
        <v>0.006124</v>
      </c>
      <c r="J44" s="16">
        <v>0.005942</v>
      </c>
      <c r="K44" s="16">
        <v>0.007115</v>
      </c>
      <c r="L44" s="16">
        <v>0.007019</v>
      </c>
      <c r="M44" s="16">
        <v>0.008952999999999999</v>
      </c>
      <c r="N44" s="16">
        <v>0.009018</v>
      </c>
      <c r="O44" s="16">
        <v>0.008296</v>
      </c>
      <c r="P44" s="16">
        <v>0.001818</v>
      </c>
      <c r="Q44" s="16">
        <v>0.001972</v>
      </c>
      <c r="R44" s="16">
        <v>0.0005419999999999999</v>
      </c>
      <c r="S44" s="16">
        <v>0.000313</v>
      </c>
      <c r="T44" s="16">
        <v>-0.000442</v>
      </c>
      <c r="U44" s="16">
        <v>-0.001517</v>
      </c>
      <c r="V44" s="16">
        <v>-0.001892</v>
      </c>
      <c r="W44" s="16">
        <v>-0.00276</v>
      </c>
      <c r="X44" s="16">
        <v>-0.001614</v>
      </c>
      <c r="Y44" s="16">
        <v>-0.001627</v>
      </c>
      <c r="Z44" s="16">
        <v>-0.002719</v>
      </c>
      <c r="AA44" s="9">
        <v>0.2916666666666667</v>
      </c>
    </row>
    <row r="45" spans="2:27" x14ac:dyDescent="0.25">
      <c r="B45" s="8" t="s">
        <v>104</v>
      </c>
      <c r="C45" s="16">
        <v>0.000145</v>
      </c>
      <c r="D45" s="16">
        <v>9.7E-05</v>
      </c>
      <c r="E45" s="16">
        <v>0.000109</v>
      </c>
      <c r="F45" s="16">
        <v>0.000108</v>
      </c>
      <c r="G45" s="16">
        <v>9.8E-05</v>
      </c>
      <c r="H45" s="16">
        <v>8.4E-05</v>
      </c>
      <c r="I45" s="16">
        <v>9.2E-05</v>
      </c>
      <c r="J45" s="16">
        <v>9.000000000000001E-05</v>
      </c>
      <c r="K45" s="16">
        <v>9.000000000000001E-05</v>
      </c>
      <c r="L45" s="16">
        <v>9.500000000000001E-05</v>
      </c>
      <c r="M45" s="16">
        <v>0.000116</v>
      </c>
      <c r="N45" s="16">
        <v>0.000108</v>
      </c>
      <c r="O45" s="16">
        <v>7.2E-05</v>
      </c>
      <c r="P45" s="16">
        <v>8.7E-05</v>
      </c>
      <c r="Q45" s="16">
        <v>9.899999999999999E-05</v>
      </c>
      <c r="R45" s="16">
        <v>0.000103</v>
      </c>
      <c r="S45" s="16">
        <v>0.000104</v>
      </c>
      <c r="T45" s="16">
        <v>8.7E-05</v>
      </c>
      <c r="U45" s="16">
        <v>0.000105</v>
      </c>
      <c r="V45" s="16">
        <v>9.399999999999999E-05</v>
      </c>
      <c r="W45" s="16">
        <v>0.0001</v>
      </c>
      <c r="X45" s="16">
        <v>0.0001</v>
      </c>
      <c r="Y45" s="16">
        <v>0.000101</v>
      </c>
      <c r="Z45" s="16">
        <v>9.899999999999999E-05</v>
      </c>
      <c r="AA45" s="9">
        <v>1</v>
      </c>
    </row>
    <row r="46" spans="2:27" x14ac:dyDescent="0.25">
      <c r="B46" s="8" t="s">
        <v>106</v>
      </c>
      <c r="C46" s="16">
        <v>-6E-06</v>
      </c>
      <c r="D46" s="16">
        <v>-4.2E-05</v>
      </c>
      <c r="E46" s="16">
        <v>-6.3E-05</v>
      </c>
      <c r="F46" s="16">
        <v>-5.6E-05</v>
      </c>
      <c r="G46" s="16">
        <v>-9.000000000000001E-05</v>
      </c>
      <c r="H46" s="16">
        <v>-9.899999999999999E-05</v>
      </c>
      <c r="I46" s="16">
        <v>-9.1E-05</v>
      </c>
      <c r="J46" s="16">
        <v>-0.000101</v>
      </c>
      <c r="K46" s="16">
        <v>-9.500000000000001E-05</v>
      </c>
      <c r="L46" s="16">
        <v>-9.899999999999999E-05</v>
      </c>
      <c r="M46" s="16">
        <v>-9.399999999999999E-05</v>
      </c>
      <c r="N46" s="16">
        <v>-0.000148</v>
      </c>
      <c r="O46" s="16">
        <v>-0.000107</v>
      </c>
      <c r="P46" s="16">
        <v>-7.2E-05</v>
      </c>
      <c r="Q46" s="16">
        <v>-9.7E-05</v>
      </c>
      <c r="R46" s="16">
        <v>-9.7E-05</v>
      </c>
      <c r="S46" s="16">
        <v>-9.399999999999999E-05</v>
      </c>
      <c r="T46" s="16">
        <v>-0.0001</v>
      </c>
      <c r="U46" s="16">
        <v>-8.6E-05</v>
      </c>
      <c r="V46" s="16">
        <v>-9.399999999999999E-05</v>
      </c>
      <c r="W46" s="16">
        <v>-9.500000000000001E-05</v>
      </c>
      <c r="X46" s="16">
        <v>-9.000000000000001E-05</v>
      </c>
      <c r="Y46" s="16">
        <v>-8.7E-05</v>
      </c>
      <c r="Z46" s="16">
        <v>-8.000000000000001E-05</v>
      </c>
      <c r="AA46" s="9">
        <v>1</v>
      </c>
    </row>
    <row r="47" spans="2:27" x14ac:dyDescent="0.25">
      <c r="B47" s="8" t="s">
        <v>108</v>
      </c>
      <c r="C47" s="16">
        <v>-0.00157</v>
      </c>
      <c r="D47" s="16">
        <v>-0.000242</v>
      </c>
      <c r="E47" s="16">
        <v>-0.0003</v>
      </c>
      <c r="F47" s="16">
        <v>-0.000305</v>
      </c>
      <c r="G47" s="16">
        <v>0.000279</v>
      </c>
      <c r="H47" s="16">
        <v>0.000702</v>
      </c>
      <c r="I47" s="16">
        <v>0.000173</v>
      </c>
      <c r="J47" s="16">
        <v>0.000299</v>
      </c>
      <c r="K47" s="16">
        <v>0.00012</v>
      </c>
      <c r="L47" s="16">
        <v>-0.00014</v>
      </c>
      <c r="M47" s="16">
        <v>-0.000413</v>
      </c>
      <c r="N47" s="16">
        <v>0.000169</v>
      </c>
      <c r="O47" s="16">
        <v>0.001389</v>
      </c>
      <c r="P47" s="16">
        <v>0.000673</v>
      </c>
      <c r="Q47" s="16">
        <v>0.000316</v>
      </c>
      <c r="R47" s="16">
        <v>3.8E-05</v>
      </c>
      <c r="S47" s="14" t="s">
        <v>94</v>
      </c>
      <c r="T47" s="16">
        <v>0.000618</v>
      </c>
      <c r="U47" s="14" t="s">
        <v>94</v>
      </c>
      <c r="V47" s="16">
        <v>0.000495</v>
      </c>
      <c r="W47" s="16">
        <v>0.000367</v>
      </c>
      <c r="X47" s="16">
        <v>0.000112</v>
      </c>
      <c r="Y47" s="16">
        <v>-7.4E-05</v>
      </c>
      <c r="Z47" s="16">
        <v>-0.000221</v>
      </c>
      <c r="AA47" s="9">
        <v>0.3636363636363636</v>
      </c>
    </row>
    <row r="48" spans="2:27" x14ac:dyDescent="0.25">
      <c r="B48" s="8" t="s">
        <v>110</v>
      </c>
      <c r="C48" s="16">
        <v>-0.013109</v>
      </c>
      <c r="D48" s="16">
        <v>0.003849</v>
      </c>
      <c r="E48" s="16">
        <v>0.003886</v>
      </c>
      <c r="F48" s="16">
        <v>0.001542</v>
      </c>
      <c r="G48" s="16">
        <v>0.000296</v>
      </c>
      <c r="H48" s="16">
        <v>0.000697</v>
      </c>
      <c r="I48" s="16">
        <v>0.000845</v>
      </c>
      <c r="J48" s="16">
        <v>0.000343</v>
      </c>
      <c r="K48" s="16">
        <v>0.000402</v>
      </c>
      <c r="L48" s="16">
        <v>0.000299</v>
      </c>
      <c r="M48" s="16">
        <v>0.000109</v>
      </c>
      <c r="N48" s="16">
        <v>-0.000374</v>
      </c>
      <c r="O48" s="16">
        <v>-0.001812</v>
      </c>
      <c r="P48" s="16">
        <v>-0.0029</v>
      </c>
      <c r="Q48" s="16">
        <v>-0.0009</v>
      </c>
      <c r="R48" s="16">
        <v>-0.000527</v>
      </c>
      <c r="S48" s="16">
        <v>-0.001713</v>
      </c>
      <c r="T48" s="16">
        <v>-0.001567</v>
      </c>
      <c r="U48" s="16">
        <v>-0.002374</v>
      </c>
      <c r="V48" s="16">
        <v>-0.002744</v>
      </c>
      <c r="W48" s="16">
        <v>-0.003249</v>
      </c>
      <c r="X48" s="16">
        <v>-0.002727</v>
      </c>
      <c r="Y48" s="16">
        <v>-0.002898</v>
      </c>
      <c r="Z48" s="16">
        <v>-0.002852</v>
      </c>
      <c r="AA48" s="9">
        <v>0.5833333333333334</v>
      </c>
    </row>
    <row r="49" spans="2:27" x14ac:dyDescent="0.25">
      <c r="B49" s="8" t="s">
        <v>112</v>
      </c>
      <c r="C49" s="16">
        <v>-0.045005</v>
      </c>
      <c r="D49" s="16">
        <v>-0.048312</v>
      </c>
      <c r="E49" s="16">
        <v>-0.052531</v>
      </c>
      <c r="F49" s="16">
        <v>-0.038803</v>
      </c>
      <c r="G49" s="16">
        <v>-0.034688</v>
      </c>
      <c r="H49" s="16">
        <v>-0.034572</v>
      </c>
      <c r="I49" s="16">
        <v>-0.031276</v>
      </c>
      <c r="J49" s="16">
        <v>-0.031238</v>
      </c>
      <c r="K49" s="16">
        <v>-0.030675</v>
      </c>
      <c r="L49" s="16">
        <v>-0.031084</v>
      </c>
      <c r="M49" s="16">
        <v>-0.034407</v>
      </c>
      <c r="N49" s="16">
        <v>-0.028486</v>
      </c>
      <c r="O49" s="16">
        <v>-0.034882</v>
      </c>
      <c r="P49" s="16">
        <v>-0.037589</v>
      </c>
      <c r="Q49" s="16">
        <v>-0.03325</v>
      </c>
      <c r="R49" s="16">
        <v>-0.032021</v>
      </c>
      <c r="S49" s="16">
        <v>-0.030831</v>
      </c>
      <c r="T49" s="16">
        <v>-0.029485</v>
      </c>
      <c r="U49" s="16">
        <v>-0.031027</v>
      </c>
      <c r="V49" s="16">
        <v>-0.030793</v>
      </c>
      <c r="W49" s="16">
        <v>-0.030979</v>
      </c>
      <c r="X49" s="16">
        <v>-0.030008</v>
      </c>
      <c r="Y49" s="16">
        <v>-0.030197</v>
      </c>
      <c r="Z49" s="16">
        <v>-0.029501</v>
      </c>
      <c r="AA49" s="9">
        <v>1</v>
      </c>
    </row>
    <row r="50" spans="2:27" x14ac:dyDescent="0.25">
      <c r="B50" s="8" t="s">
        <v>117</v>
      </c>
      <c r="C50" s="16">
        <v>0.004475</v>
      </c>
      <c r="D50" s="16">
        <v>-0.001573</v>
      </c>
      <c r="E50" s="16">
        <v>-0.003987</v>
      </c>
      <c r="F50" s="16">
        <v>-0.00619</v>
      </c>
      <c r="G50" s="16">
        <v>-0.005235</v>
      </c>
      <c r="H50" s="16">
        <v>-0.004077</v>
      </c>
      <c r="I50" s="16">
        <v>-0.003762</v>
      </c>
      <c r="J50" s="16">
        <v>-0.003101</v>
      </c>
      <c r="K50" s="16">
        <v>-0.004253</v>
      </c>
      <c r="L50" s="16">
        <v>-0.003181</v>
      </c>
      <c r="M50" s="16">
        <v>-0.002957</v>
      </c>
      <c r="N50" s="16">
        <v>-0.0023</v>
      </c>
      <c r="O50" s="16">
        <v>-0.003768</v>
      </c>
      <c r="P50" s="16">
        <v>-0.004357</v>
      </c>
      <c r="Q50" s="16">
        <v>-0.004951</v>
      </c>
      <c r="R50" s="16">
        <v>-0.005013</v>
      </c>
      <c r="S50" s="16">
        <v>-0.004654</v>
      </c>
      <c r="T50" s="16">
        <v>-0.005315</v>
      </c>
      <c r="U50" s="16">
        <v>-0.006199</v>
      </c>
      <c r="V50" s="16">
        <v>-0.006078</v>
      </c>
      <c r="W50" s="16">
        <v>-0.006727</v>
      </c>
      <c r="X50" s="16">
        <v>-0.0059</v>
      </c>
      <c r="Y50" s="16">
        <v>-0.005488</v>
      </c>
      <c r="Z50" s="16">
        <v>-0.005037</v>
      </c>
      <c r="AA50" s="9">
        <v>0.9583333333333334</v>
      </c>
    </row>
    <row r="51" spans="2:27" x14ac:dyDescent="0.25">
      <c r="B51" s="8" t="s">
        <v>119</v>
      </c>
      <c r="C51" s="16">
        <v>-0.010339</v>
      </c>
      <c r="D51" s="16">
        <v>-0.011984</v>
      </c>
      <c r="E51" s="16">
        <v>-0.010539</v>
      </c>
      <c r="F51" s="16">
        <v>-0.011065</v>
      </c>
      <c r="G51" s="16">
        <v>-0.007483</v>
      </c>
      <c r="H51" s="16">
        <v>-0.007032</v>
      </c>
      <c r="I51" s="16">
        <v>-0.007436</v>
      </c>
      <c r="J51" s="16">
        <v>-0.006856</v>
      </c>
      <c r="K51" s="16">
        <v>-0.007194</v>
      </c>
      <c r="L51" s="16">
        <v>-0.006078</v>
      </c>
      <c r="M51" s="16">
        <v>-0.005673</v>
      </c>
      <c r="N51" s="16">
        <v>-0.001512</v>
      </c>
      <c r="O51" s="16">
        <v>-0.002039</v>
      </c>
      <c r="P51" s="16">
        <v>-0.001862</v>
      </c>
      <c r="Q51" s="16">
        <v>-0.000885</v>
      </c>
      <c r="R51" s="16">
        <v>-6.9E-05</v>
      </c>
      <c r="S51" s="16">
        <v>-0.000309</v>
      </c>
      <c r="T51" s="16">
        <v>0.000279</v>
      </c>
      <c r="U51" s="16">
        <v>-0.000315</v>
      </c>
      <c r="V51" s="16">
        <v>0.000144</v>
      </c>
      <c r="W51" s="16">
        <v>3.1E-05</v>
      </c>
      <c r="X51" s="16">
        <v>-0.000149</v>
      </c>
      <c r="Y51" s="16">
        <v>-0.000367</v>
      </c>
      <c r="Z51" s="16">
        <v>-0.000575</v>
      </c>
      <c r="AA51" s="9">
        <v>0.875</v>
      </c>
    </row>
    <row r="52" spans="2:27" x14ac:dyDescent="0.25">
      <c r="B52" s="8" t="s">
        <v>115</v>
      </c>
      <c r="C52" s="14" t="s">
        <v>94</v>
      </c>
      <c r="D52" s="16">
        <v>0.023665</v>
      </c>
      <c r="E52" s="16">
        <v>0.027307</v>
      </c>
      <c r="F52" s="16">
        <v>0.012942</v>
      </c>
      <c r="G52" s="16">
        <v>0.008152</v>
      </c>
      <c r="H52" s="16">
        <v>0.009540999999999999</v>
      </c>
      <c r="I52" s="16">
        <v>0.00611</v>
      </c>
      <c r="J52" s="16">
        <v>0.006012</v>
      </c>
      <c r="K52" s="16">
        <v>0.00596</v>
      </c>
      <c r="L52" s="16">
        <v>0.005966</v>
      </c>
      <c r="M52" s="16">
        <v>0.006577</v>
      </c>
      <c r="N52" s="16">
        <v>0.006169</v>
      </c>
      <c r="O52" s="16">
        <v>0.009952000000000001</v>
      </c>
      <c r="P52" s="16">
        <v>0.011546</v>
      </c>
      <c r="Q52" s="16">
        <v>0.009398999999999999</v>
      </c>
      <c r="R52" s="16">
        <v>0.008768</v>
      </c>
      <c r="S52" s="16">
        <v>0.00774</v>
      </c>
      <c r="T52" s="16">
        <v>0.007517</v>
      </c>
      <c r="U52" s="16">
        <v>0.007005</v>
      </c>
      <c r="V52" s="16">
        <v>0.006881</v>
      </c>
      <c r="W52" s="16">
        <v>0.006513</v>
      </c>
      <c r="X52" s="16">
        <v>0.006515</v>
      </c>
      <c r="Y52" s="16">
        <v>0.006596</v>
      </c>
      <c r="Z52" s="16">
        <v>0.006628</v>
      </c>
      <c r="AA52" s="9">
        <v>1</v>
      </c>
    </row>
  </sheetData>
  <conditionalFormatting sqref="C6:C17">
    <cfRule type="dataBar" priority="2">
      <dataBar>
        <cfvo type="min"/>
        <cfvo type="max"/>
        <color rgb="FF8B5CF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D6:D17">
    <cfRule type="cellIs" dxfId="0" priority="1" operator="lessThan">
      <formula>0.05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negativeBarBorderColorSameAsPositive="0" axisPosition="middle">
              <x14:cfvo type="autoMin"/>
              <x14:cfvo type="autoMax"/>
              <x14:borderColor rgb="FF8B5CF6"/>
              <x14:negativeFillColor rgb="FFEF4444"/>
              <x14:negativeBorderColor rgb="FFFF0000"/>
              <x14:axisColor rgb="FF000000"/>
            </x14:dataBar>
          </x14:cfRule>
          <xm:sqref>C6:C17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59E0B"/>
  </sheetPr>
  <dimension ref="B2:G10"/>
  <sheetViews>
    <sheetView showGridLines="0" workbookViewId="0"/>
  </sheetViews>
  <sheetFormatPr defaultRowHeight="15"/>
  <cols>
    <col min="1" max="1" width="2.7109375" customWidth="1"/>
    <col min="2" max="2" width="24.7109375" customWidth="1"/>
    <col min="3" max="3" width="13.7109375" customWidth="1"/>
    <col min="4" max="4" width="10.7109375" customWidth="1"/>
    <col min="5" max="5" width="12.7109375" customWidth="1"/>
    <col min="6" max="6" width="20.7109375" customWidth="1"/>
    <col min="7" max="7" width="44.7109375" customWidth="1"/>
  </cols>
  <sheetData>
    <row r="2" spans="2:7">
      <c r="B2" s="1" t="s">
        <v>125</v>
      </c>
    </row>
    <row r="3" spans="2:7">
      <c r="B3" s="2" t="s">
        <v>126</v>
      </c>
    </row>
    <row r="5" spans="2:7">
      <c r="B5" s="7" t="s">
        <v>79</v>
      </c>
      <c r="C5" s="7" t="s">
        <v>127</v>
      </c>
      <c r="D5" s="7" t="s">
        <v>81</v>
      </c>
      <c r="E5" s="7" t="s">
        <v>82</v>
      </c>
      <c r="F5" s="7" t="s">
        <v>128</v>
      </c>
      <c r="G5" s="7" t="s">
        <v>129</v>
      </c>
    </row>
    <row r="6" spans="2:7">
      <c r="B6" s="8" t="s">
        <v>88</v>
      </c>
      <c r="C6" s="16">
        <v>7.2336</v>
      </c>
      <c r="D6" s="16">
        <v>0.0072</v>
      </c>
      <c r="E6" s="14" t="s">
        <v>113</v>
      </c>
      <c r="F6" s="17" t="s">
        <v>130</v>
      </c>
      <c r="G6" s="18" t="s">
        <v>131</v>
      </c>
    </row>
    <row r="7" spans="2:7">
      <c r="B7" s="8" t="s">
        <v>132</v>
      </c>
      <c r="C7" s="16">
        <v>0.5046</v>
      </c>
      <c r="D7" s="16">
        <v>0.4775</v>
      </c>
      <c r="E7" s="14" t="s">
        <v>94</v>
      </c>
      <c r="F7" s="13" t="s">
        <v>133</v>
      </c>
      <c r="G7" s="18" t="s">
        <v>134</v>
      </c>
    </row>
    <row r="8" spans="2:7">
      <c r="B8" s="8" t="s">
        <v>135</v>
      </c>
      <c r="C8" s="16">
        <v>0.3229</v>
      </c>
      <c r="D8" s="16">
        <v>0.5699</v>
      </c>
      <c r="E8" s="14" t="s">
        <v>94</v>
      </c>
      <c r="F8" s="13" t="s">
        <v>133</v>
      </c>
      <c r="G8" s="18" t="s">
        <v>136</v>
      </c>
    </row>
    <row r="9" spans="2:7">
      <c r="B9" s="8" t="s">
        <v>93</v>
      </c>
      <c r="C9" s="16">
        <v>0.2242</v>
      </c>
      <c r="D9" s="16">
        <v>0.6359</v>
      </c>
      <c r="E9" s="14" t="s">
        <v>94</v>
      </c>
      <c r="F9" s="13" t="s">
        <v>133</v>
      </c>
      <c r="G9" s="18" t="s">
        <v>137</v>
      </c>
    </row>
    <row r="10" spans="2:7">
      <c r="B10" s="8" t="s">
        <v>98</v>
      </c>
      <c r="C10" s="16">
        <v>0.004</v>
      </c>
      <c r="D10" s="16">
        <v>0.9498</v>
      </c>
      <c r="E10" s="14" t="s">
        <v>94</v>
      </c>
      <c r="F10" s="13" t="s">
        <v>133</v>
      </c>
      <c r="G10" s="18" t="s">
        <v>138</v>
      </c>
    </row>
  </sheetData>
  <conditionalFormatting sqref="D6:D10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0B981"/>
  </sheetPr>
  <dimension ref="B2:G42"/>
  <sheetViews>
    <sheetView showGridLines="0" workbookViewId="0"/>
  </sheetViews>
  <sheetFormatPr defaultRowHeight="15"/>
  <cols>
    <col min="1" max="1" width="2.7109375" customWidth="1"/>
    <col min="2" max="2" width="7.7109375" customWidth="1"/>
    <col min="3" max="3" width="30.7109375" customWidth="1"/>
    <col min="4" max="4" width="13.7109375" customWidth="1"/>
    <col min="5" max="5" width="11.7109375" customWidth="1"/>
    <col min="6" max="6" width="13.7109375" customWidth="1"/>
    <col min="7" max="7" width="11.7109375" customWidth="1"/>
  </cols>
  <sheetData>
    <row r="2" spans="2:7">
      <c r="B2" s="1" t="s">
        <v>139</v>
      </c>
    </row>
    <row r="5" spans="2:7">
      <c r="B5" s="4" t="s">
        <v>140</v>
      </c>
      <c r="C5" s="5" t="s">
        <v>141</v>
      </c>
    </row>
    <row r="6" spans="2:7">
      <c r="B6" s="4" t="s">
        <v>142</v>
      </c>
      <c r="C6" s="5" t="s">
        <v>143</v>
      </c>
    </row>
    <row r="7" spans="2:7">
      <c r="B7" s="4" t="s">
        <v>144</v>
      </c>
      <c r="C7" s="5" t="s">
        <v>145</v>
      </c>
    </row>
    <row r="8" spans="2:7">
      <c r="B8" s="4" t="s">
        <v>146</v>
      </c>
      <c r="C8" s="16">
        <v>0.425</v>
      </c>
    </row>
    <row r="9" spans="2:7">
      <c r="B9" s="4" t="s">
        <v>147</v>
      </c>
      <c r="C9" s="16">
        <v>0.1599</v>
      </c>
    </row>
    <row r="10" spans="2:7">
      <c r="B10" s="4" t="s">
        <v>148</v>
      </c>
      <c r="C10" s="16">
        <v>0.3692</v>
      </c>
    </row>
    <row r="11" spans="2:7">
      <c r="B11" s="4" t="s">
        <v>149</v>
      </c>
      <c r="C11" s="5" t="s">
        <v>150</v>
      </c>
    </row>
    <row r="12" spans="2:7">
      <c r="B12" s="4" t="s">
        <v>151</v>
      </c>
      <c r="C12" s="16">
        <v>0.5031</v>
      </c>
    </row>
    <row r="14" spans="2:7">
      <c r="B14" s="6" t="s">
        <v>152</v>
      </c>
    </row>
    <row r="15" spans="2:7">
      <c r="B15" s="7" t="s">
        <v>153</v>
      </c>
      <c r="C15" s="7" t="s">
        <v>154</v>
      </c>
      <c r="D15" s="7" t="s">
        <v>155</v>
      </c>
      <c r="E15" s="7" t="s">
        <v>156</v>
      </c>
      <c r="F15" s="7" t="s">
        <v>157</v>
      </c>
      <c r="G15" s="7" t="s">
        <v>158</v>
      </c>
    </row>
    <row r="16" spans="2:7">
      <c r="B16" s="14">
        <v>1</v>
      </c>
      <c r="C16" s="14">
        <v>650</v>
      </c>
      <c r="D16" s="14">
        <v>65</v>
      </c>
      <c r="E16" s="16">
        <v>0.5077</v>
      </c>
      <c r="F16" s="16">
        <v>0.4311</v>
      </c>
      <c r="G16" s="16">
        <v>0.3769</v>
      </c>
    </row>
    <row r="17" spans="2:7">
      <c r="B17" s="14">
        <v>2</v>
      </c>
      <c r="C17" s="14">
        <v>715</v>
      </c>
      <c r="D17" s="14">
        <v>65</v>
      </c>
      <c r="E17" s="16">
        <v>0.2308</v>
      </c>
      <c r="F17" s="16">
        <v>0.1253</v>
      </c>
      <c r="G17" s="16">
        <v>0.7093</v>
      </c>
    </row>
    <row r="18" spans="2:7">
      <c r="B18" s="14">
        <v>3</v>
      </c>
      <c r="C18" s="14">
        <v>780</v>
      </c>
      <c r="D18" s="14">
        <v>65</v>
      </c>
      <c r="E18" s="16">
        <v>0.3077</v>
      </c>
      <c r="F18" s="16">
        <v>0.2744</v>
      </c>
      <c r="G18" s="16">
        <v>0.2511</v>
      </c>
    </row>
    <row r="19" spans="2:7">
      <c r="B19" s="14">
        <v>4</v>
      </c>
      <c r="C19" s="14">
        <v>845</v>
      </c>
      <c r="D19" s="14">
        <v>65</v>
      </c>
      <c r="E19" s="16">
        <v>0.1846</v>
      </c>
      <c r="F19" s="16">
        <v>0.1733</v>
      </c>
      <c r="G19" s="16">
        <v>0.4133</v>
      </c>
    </row>
    <row r="20" spans="2:7">
      <c r="B20" s="14">
        <v>5</v>
      </c>
      <c r="C20" s="14">
        <v>910</v>
      </c>
      <c r="D20" s="14">
        <v>65</v>
      </c>
      <c r="E20" s="16">
        <v>0.5385</v>
      </c>
      <c r="F20" s="16">
        <v>0.4494</v>
      </c>
      <c r="G20" s="16">
        <v>0.5404</v>
      </c>
    </row>
    <row r="21" spans="2:7">
      <c r="B21" s="14">
        <v>6</v>
      </c>
      <c r="C21" s="14">
        <v>975</v>
      </c>
      <c r="D21" s="14">
        <v>65</v>
      </c>
      <c r="E21" s="16">
        <v>0.4769</v>
      </c>
      <c r="F21" s="16">
        <v>0.4372</v>
      </c>
      <c r="G21" s="16">
        <v>0.4128</v>
      </c>
    </row>
    <row r="22" spans="2:7">
      <c r="B22" s="14">
        <v>7</v>
      </c>
      <c r="C22" s="14">
        <v>1040</v>
      </c>
      <c r="D22" s="14">
        <v>65</v>
      </c>
      <c r="E22" s="16">
        <v>0.6</v>
      </c>
      <c r="F22" s="16">
        <v>0.5671</v>
      </c>
      <c r="G22" s="16">
        <v>0.5387999999999999</v>
      </c>
    </row>
    <row r="23" spans="2:7">
      <c r="B23" s="14">
        <v>8</v>
      </c>
      <c r="C23" s="14">
        <v>1105</v>
      </c>
      <c r="D23" s="14">
        <v>65</v>
      </c>
      <c r="E23" s="16">
        <v>0.5538</v>
      </c>
      <c r="F23" s="16">
        <v>0.496</v>
      </c>
      <c r="G23" s="16">
        <v>0.4801</v>
      </c>
    </row>
    <row r="26" spans="2:7">
      <c r="B26" s="6" t="s">
        <v>159</v>
      </c>
    </row>
    <row r="27" spans="2:7">
      <c r="B27" s="7" t="s">
        <v>160</v>
      </c>
      <c r="C27" s="7" t="s">
        <v>161</v>
      </c>
      <c r="D27" s="7" t="s">
        <v>162</v>
      </c>
    </row>
    <row r="28" spans="2:7">
      <c r="B28" s="14">
        <v>1</v>
      </c>
      <c r="C28" s="8" t="s">
        <v>163</v>
      </c>
      <c r="D28" s="16">
        <v>0.02178040146827698</v>
      </c>
    </row>
    <row r="29" spans="2:7">
      <c r="B29" s="14">
        <v>2</v>
      </c>
      <c r="C29" s="8" t="s">
        <v>164</v>
      </c>
      <c r="D29" s="16">
        <v>0.02076428011059761</v>
      </c>
    </row>
    <row r="30" spans="2:7">
      <c r="B30" s="14">
        <v>3</v>
      </c>
      <c r="C30" s="8" t="s">
        <v>165</v>
      </c>
      <c r="D30" s="16">
        <v>0.01783575303852558</v>
      </c>
    </row>
    <row r="31" spans="2:7">
      <c r="B31" s="14">
        <v>4</v>
      </c>
      <c r="C31" s="8" t="s">
        <v>166</v>
      </c>
      <c r="D31" s="16">
        <v>0.01772940717637539</v>
      </c>
    </row>
    <row r="32" spans="2:7">
      <c r="B32" s="14">
        <v>5</v>
      </c>
      <c r="C32" s="8" t="s">
        <v>167</v>
      </c>
      <c r="D32" s="16">
        <v>0.01733604446053505</v>
      </c>
    </row>
    <row r="33" spans="2:4">
      <c r="B33" s="14">
        <v>6</v>
      </c>
      <c r="C33" s="8" t="s">
        <v>168</v>
      </c>
      <c r="D33" s="16">
        <v>0.0167862419039011</v>
      </c>
    </row>
    <row r="34" spans="2:4">
      <c r="B34" s="14">
        <v>7</v>
      </c>
      <c r="C34" s="8" t="s">
        <v>169</v>
      </c>
      <c r="D34" s="16">
        <v>0.01557330787181854</v>
      </c>
    </row>
    <row r="35" spans="2:4">
      <c r="B35" s="14">
        <v>8</v>
      </c>
      <c r="C35" s="8" t="s">
        <v>170</v>
      </c>
      <c r="D35" s="16">
        <v>0.01539521757513285</v>
      </c>
    </row>
    <row r="36" spans="2:4">
      <c r="B36" s="14">
        <v>9</v>
      </c>
      <c r="C36" s="8" t="s">
        <v>171</v>
      </c>
      <c r="D36" s="16">
        <v>0.01488733943551779</v>
      </c>
    </row>
    <row r="37" spans="2:4">
      <c r="B37" s="14">
        <v>10</v>
      </c>
      <c r="C37" s="8" t="s">
        <v>172</v>
      </c>
      <c r="D37" s="16">
        <v>0.01360253803431988</v>
      </c>
    </row>
    <row r="38" spans="2:4">
      <c r="B38" s="14">
        <v>11</v>
      </c>
      <c r="C38" s="8" t="s">
        <v>173</v>
      </c>
      <c r="D38" s="16">
        <v>0.0134799899533391</v>
      </c>
    </row>
    <row r="39" spans="2:4">
      <c r="B39" s="14">
        <v>12</v>
      </c>
      <c r="C39" s="8" t="s">
        <v>174</v>
      </c>
      <c r="D39" s="16">
        <v>0.01324111688882113</v>
      </c>
    </row>
    <row r="40" spans="2:4">
      <c r="B40" s="14">
        <v>13</v>
      </c>
      <c r="C40" s="8" t="s">
        <v>175</v>
      </c>
      <c r="D40" s="16">
        <v>0.01247525215148926</v>
      </c>
    </row>
    <row r="41" spans="2:4">
      <c r="B41" s="14">
        <v>14</v>
      </c>
      <c r="C41" s="8" t="s">
        <v>176</v>
      </c>
      <c r="D41" s="16">
        <v>0.01242704410105944</v>
      </c>
    </row>
    <row r="42" spans="2:4">
      <c r="B42" s="14">
        <v>15</v>
      </c>
      <c r="C42" s="8" t="s">
        <v>177</v>
      </c>
      <c r="D42" s="16">
        <v>0.01225554849952459</v>
      </c>
    </row>
  </sheetData>
  <conditionalFormatting sqref="D28:D42">
    <cfRule type="dataBar" priority="1">
      <dataBar>
        <cfvo type="min" val="0"/>
        <cfvo type="max" val="0"/>
        <color rgb="FF10B981"/>
      </dataBar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97316"/>
  </sheetPr>
  <dimension ref="B2:G3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24.7109375" customWidth="1"/>
    <col min="3" max="3" width="12.7109375" customWidth="1"/>
    <col min="4" max="4" width="24.7109375" customWidth="1"/>
    <col min="5" max="5" width="70.7109375" customWidth="1"/>
    <col min="6" max="6" width="13.7109375" customWidth="1"/>
    <col min="7" max="7" width="12.7109375" customWidth="1"/>
  </cols>
  <sheetData>
    <row r="2" spans="2:7">
      <c r="B2" s="1" t="s">
        <v>178</v>
      </c>
    </row>
    <row r="3" spans="2:7">
      <c r="B3" s="2" t="s">
        <v>179</v>
      </c>
    </row>
    <row r="5" spans="2:7">
      <c r="B5" s="7" t="s">
        <v>18</v>
      </c>
      <c r="C5" s="7" t="s">
        <v>180</v>
      </c>
      <c r="D5" s="7" t="s">
        <v>181</v>
      </c>
      <c r="E5" s="7" t="s">
        <v>182</v>
      </c>
      <c r="F5" s="7" t="s">
        <v>183</v>
      </c>
      <c r="G5" s="7" t="s">
        <v>184</v>
      </c>
    </row>
    <row r="6" spans="2:7">
      <c r="B6" s="8" t="s">
        <v>24</v>
      </c>
      <c r="C6" s="9">
        <v>0.25</v>
      </c>
      <c r="D6" s="8" t="s">
        <v>185</v>
      </c>
      <c r="E6" s="18" t="s">
        <v>186</v>
      </c>
      <c r="F6" s="10">
        <v>60</v>
      </c>
      <c r="G6" s="17" t="s">
        <v>187</v>
      </c>
    </row>
    <row r="7" spans="2:7">
      <c r="B7" s="8" t="s">
        <v>24</v>
      </c>
      <c r="C7" s="9">
        <v>0.25</v>
      </c>
      <c r="D7" s="8" t="s">
        <v>188</v>
      </c>
      <c r="E7" s="18" t="s">
        <v>189</v>
      </c>
      <c r="F7" s="10">
        <v>50</v>
      </c>
      <c r="G7" s="17" t="s">
        <v>187</v>
      </c>
    </row>
    <row r="8" spans="2:7">
      <c r="B8" s="8" t="s">
        <v>24</v>
      </c>
      <c r="C8" s="9">
        <v>0.25</v>
      </c>
      <c r="D8" s="8" t="s">
        <v>190</v>
      </c>
      <c r="E8" s="18" t="s">
        <v>191</v>
      </c>
      <c r="F8" s="10">
        <v>69</v>
      </c>
      <c r="G8" s="17" t="s">
        <v>187</v>
      </c>
    </row>
    <row r="9" spans="2:7">
      <c r="B9" s="8" t="s">
        <v>24</v>
      </c>
      <c r="C9" s="9">
        <v>0.25</v>
      </c>
      <c r="D9" s="8" t="s">
        <v>192</v>
      </c>
      <c r="E9" s="18" t="s">
        <v>47</v>
      </c>
      <c r="F9" s="10">
        <v>50</v>
      </c>
      <c r="G9" s="13" t="s">
        <v>193</v>
      </c>
    </row>
    <row r="10" spans="2:7">
      <c r="B10" s="8" t="s">
        <v>24</v>
      </c>
      <c r="C10" s="9">
        <v>0.25</v>
      </c>
      <c r="D10" s="8" t="s">
        <v>194</v>
      </c>
      <c r="E10" s="18" t="s">
        <v>195</v>
      </c>
      <c r="F10" s="10">
        <v>43</v>
      </c>
      <c r="G10" s="17" t="s">
        <v>187</v>
      </c>
    </row>
    <row r="11" spans="2:7">
      <c r="B11" s="8" t="s">
        <v>26</v>
      </c>
      <c r="C11" s="9">
        <v>0.2</v>
      </c>
      <c r="D11" s="8" t="s">
        <v>196</v>
      </c>
      <c r="E11" s="18" t="s">
        <v>197</v>
      </c>
      <c r="F11" s="10">
        <v>29</v>
      </c>
      <c r="G11" s="17" t="s">
        <v>187</v>
      </c>
    </row>
    <row r="12" spans="2:7">
      <c r="B12" s="8" t="s">
        <v>26</v>
      </c>
      <c r="C12" s="9">
        <v>0.2</v>
      </c>
      <c r="D12" s="8" t="s">
        <v>198</v>
      </c>
      <c r="E12" s="18" t="s">
        <v>199</v>
      </c>
      <c r="F12" s="10">
        <v>0</v>
      </c>
      <c r="G12" s="17" t="s">
        <v>187</v>
      </c>
    </row>
    <row r="13" spans="2:7">
      <c r="B13" s="8" t="s">
        <v>26</v>
      </c>
      <c r="C13" s="9">
        <v>0.2</v>
      </c>
      <c r="D13" s="8" t="s">
        <v>200</v>
      </c>
      <c r="E13" s="18" t="s">
        <v>201</v>
      </c>
      <c r="F13" s="10">
        <v>53</v>
      </c>
      <c r="G13" s="17" t="s">
        <v>187</v>
      </c>
    </row>
    <row r="14" spans="2:7">
      <c r="B14" s="8" t="s">
        <v>26</v>
      </c>
      <c r="C14" s="9">
        <v>0.2</v>
      </c>
      <c r="D14" s="8" t="s">
        <v>175</v>
      </c>
      <c r="E14" s="18" t="s">
        <v>202</v>
      </c>
      <c r="F14" s="14" t="s">
        <v>94</v>
      </c>
      <c r="G14" s="17" t="s">
        <v>187</v>
      </c>
    </row>
    <row r="15" spans="2:7">
      <c r="B15" s="8" t="s">
        <v>26</v>
      </c>
      <c r="C15" s="9">
        <v>0.2</v>
      </c>
      <c r="D15" s="8" t="s">
        <v>203</v>
      </c>
      <c r="E15" s="18" t="s">
        <v>204</v>
      </c>
      <c r="F15" s="10">
        <v>48</v>
      </c>
      <c r="G15" s="17" t="s">
        <v>187</v>
      </c>
    </row>
    <row r="16" spans="2:7">
      <c r="B16" s="8" t="s">
        <v>26</v>
      </c>
      <c r="C16" s="9">
        <v>0.2</v>
      </c>
      <c r="D16" s="8" t="s">
        <v>205</v>
      </c>
      <c r="E16" s="18" t="s">
        <v>206</v>
      </c>
      <c r="F16" s="10">
        <v>56</v>
      </c>
      <c r="G16" s="17" t="s">
        <v>187</v>
      </c>
    </row>
    <row r="17" spans="2:7">
      <c r="B17" s="8" t="s">
        <v>28</v>
      </c>
      <c r="C17" s="9">
        <v>0.2</v>
      </c>
      <c r="D17" s="8" t="s">
        <v>135</v>
      </c>
      <c r="E17" s="18" t="s">
        <v>207</v>
      </c>
      <c r="F17" s="10">
        <v>30</v>
      </c>
      <c r="G17" s="17" t="s">
        <v>187</v>
      </c>
    </row>
    <row r="18" spans="2:7">
      <c r="B18" s="8" t="s">
        <v>28</v>
      </c>
      <c r="C18" s="9">
        <v>0.2</v>
      </c>
      <c r="D18" s="8" t="s">
        <v>208</v>
      </c>
      <c r="E18" s="18" t="s">
        <v>209</v>
      </c>
      <c r="F18" s="10">
        <v>33</v>
      </c>
      <c r="G18" s="17" t="s">
        <v>187</v>
      </c>
    </row>
    <row r="19" spans="2:7">
      <c r="B19" s="8" t="s">
        <v>28</v>
      </c>
      <c r="C19" s="9">
        <v>0.2</v>
      </c>
      <c r="D19" s="8" t="s">
        <v>210</v>
      </c>
      <c r="E19" s="18" t="s">
        <v>211</v>
      </c>
      <c r="F19" s="10">
        <v>80</v>
      </c>
      <c r="G19" s="17" t="s">
        <v>187</v>
      </c>
    </row>
    <row r="20" spans="2:7">
      <c r="B20" s="8" t="s">
        <v>29</v>
      </c>
      <c r="C20" s="9">
        <v>0.15</v>
      </c>
      <c r="D20" s="8" t="s">
        <v>212</v>
      </c>
      <c r="E20" s="18" t="s">
        <v>213</v>
      </c>
      <c r="F20" s="10">
        <v>48</v>
      </c>
      <c r="G20" s="17" t="s">
        <v>187</v>
      </c>
    </row>
    <row r="21" spans="2:7">
      <c r="B21" s="8" t="s">
        <v>29</v>
      </c>
      <c r="C21" s="9">
        <v>0.15</v>
      </c>
      <c r="D21" s="8" t="s">
        <v>214</v>
      </c>
      <c r="E21" s="18" t="s">
        <v>215</v>
      </c>
      <c r="F21" s="10">
        <v>53</v>
      </c>
      <c r="G21" s="17" t="s">
        <v>187</v>
      </c>
    </row>
    <row r="22" spans="2:7">
      <c r="B22" s="8" t="s">
        <v>29</v>
      </c>
      <c r="C22" s="9">
        <v>0.15</v>
      </c>
      <c r="D22" s="8" t="s">
        <v>216</v>
      </c>
      <c r="E22" s="18" t="s">
        <v>217</v>
      </c>
      <c r="F22" s="14" t="s">
        <v>94</v>
      </c>
      <c r="G22" s="17" t="s">
        <v>187</v>
      </c>
    </row>
    <row r="23" spans="2:7">
      <c r="B23" s="8" t="s">
        <v>29</v>
      </c>
      <c r="C23" s="9">
        <v>0.15</v>
      </c>
      <c r="D23" s="8" t="s">
        <v>218</v>
      </c>
      <c r="E23" s="18" t="s">
        <v>219</v>
      </c>
      <c r="F23" s="14" t="s">
        <v>94</v>
      </c>
      <c r="G23" s="17" t="s">
        <v>187</v>
      </c>
    </row>
    <row r="24" spans="2:7">
      <c r="B24" s="8" t="s">
        <v>30</v>
      </c>
      <c r="C24" s="9">
        <v>0.1</v>
      </c>
      <c r="D24" s="8" t="s">
        <v>220</v>
      </c>
      <c r="E24" s="18" t="s">
        <v>221</v>
      </c>
      <c r="F24" s="14" t="s">
        <v>94</v>
      </c>
      <c r="G24" s="17" t="s">
        <v>187</v>
      </c>
    </row>
    <row r="25" spans="2:7">
      <c r="B25" s="8" t="s">
        <v>30</v>
      </c>
      <c r="C25" s="9">
        <v>0.1</v>
      </c>
      <c r="D25" s="8" t="s">
        <v>222</v>
      </c>
      <c r="E25" s="18" t="s">
        <v>223</v>
      </c>
      <c r="F25" s="14" t="s">
        <v>94</v>
      </c>
      <c r="G25" s="17" t="s">
        <v>187</v>
      </c>
    </row>
    <row r="26" spans="2:7">
      <c r="B26" s="8" t="s">
        <v>31</v>
      </c>
      <c r="C26" s="9">
        <v>0.1</v>
      </c>
      <c r="D26" s="8" t="s">
        <v>224</v>
      </c>
      <c r="E26" s="18" t="s">
        <v>225</v>
      </c>
      <c r="F26" s="10">
        <v>75</v>
      </c>
      <c r="G26" s="17" t="s">
        <v>187</v>
      </c>
    </row>
    <row r="27" spans="2:7">
      <c r="B27" s="8" t="s">
        <v>31</v>
      </c>
      <c r="C27" s="9">
        <v>0.1</v>
      </c>
      <c r="D27" s="8" t="s">
        <v>226</v>
      </c>
      <c r="E27" s="18" t="s">
        <v>227</v>
      </c>
      <c r="F27" s="14" t="s">
        <v>94</v>
      </c>
      <c r="G27" s="17" t="s">
        <v>187</v>
      </c>
    </row>
    <row r="28" spans="2:7">
      <c r="B28" s="8" t="s">
        <v>31</v>
      </c>
      <c r="C28" s="9">
        <v>0.1</v>
      </c>
      <c r="D28" s="8" t="s">
        <v>228</v>
      </c>
      <c r="E28" s="18" t="s">
        <v>229</v>
      </c>
      <c r="F28" s="10">
        <v>38</v>
      </c>
      <c r="G28" s="17" t="s">
        <v>187</v>
      </c>
    </row>
    <row r="29" spans="2:7">
      <c r="B29" s="8" t="s">
        <v>31</v>
      </c>
      <c r="C29" s="9">
        <v>0.1</v>
      </c>
      <c r="D29" s="8" t="s">
        <v>230</v>
      </c>
      <c r="E29" s="18" t="s">
        <v>231</v>
      </c>
      <c r="F29" s="10">
        <v>47</v>
      </c>
      <c r="G29" s="17" t="s">
        <v>187</v>
      </c>
    </row>
    <row r="30" spans="2:7">
      <c r="B30" s="8" t="s">
        <v>31</v>
      </c>
      <c r="C30" s="9">
        <v>0.1</v>
      </c>
      <c r="D30" s="8" t="s">
        <v>232</v>
      </c>
      <c r="E30" s="18" t="s">
        <v>233</v>
      </c>
      <c r="F30" s="14" t="s">
        <v>94</v>
      </c>
      <c r="G30" s="17" t="s">
        <v>187</v>
      </c>
    </row>
    <row r="31" spans="2:7">
      <c r="B31" s="8" t="s">
        <v>31</v>
      </c>
      <c r="C31" s="9">
        <v>0.1</v>
      </c>
      <c r="D31" s="8" t="s">
        <v>234</v>
      </c>
      <c r="E31" s="18" t="s">
        <v>235</v>
      </c>
      <c r="F31" s="14" t="s">
        <v>94</v>
      </c>
      <c r="G31" s="17" t="s">
        <v>187</v>
      </c>
    </row>
  </sheetData>
  <autoFilter ref="B5:G31"/>
  <conditionalFormatting sqref="F6:F31">
    <cfRule type="colorScale" priority="1">
      <colorScale>
        <cfvo type="num" val="0"/>
        <cfvo type="num" val="50"/>
        <cfvo type="num" val="100"/>
        <color rgb="FFEF4444"/>
        <color rgb="FFFDE047"/>
        <color rgb="FF22C55E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F4444"/>
  </sheetPr>
  <dimension ref="B2:L69"/>
  <sheetViews>
    <sheetView showGridLines="0" workbookViewId="0"/>
  </sheetViews>
  <sheetFormatPr defaultRowHeight="15"/>
  <cols>
    <col min="1" max="1" width="2.7109375" customWidth="1"/>
    <col min="2" max="2" width="10.7109375" customWidth="1"/>
    <col min="3" max="3" width="14.7109375" customWidth="1"/>
    <col min="4" max="5" width="16.7109375" customWidth="1"/>
    <col min="6" max="6" width="12.7109375" customWidth="1"/>
    <col min="7" max="7" width="11.7109375" customWidth="1"/>
    <col min="8" max="9" width="15.7109375" customWidth="1"/>
    <col min="10" max="10" width="8.7109375" customWidth="1"/>
    <col min="11" max="12" width="14.7109375" customWidth="1"/>
  </cols>
  <sheetData>
    <row r="2" spans="2:3">
      <c r="B2" s="1" t="s">
        <v>236</v>
      </c>
    </row>
    <row r="3" spans="2:3">
      <c r="B3" s="2" t="s">
        <v>237</v>
      </c>
    </row>
    <row r="5" spans="2:3">
      <c r="B5" s="4" t="s">
        <v>238</v>
      </c>
      <c r="C5" s="14">
        <v>22</v>
      </c>
    </row>
    <row r="6" spans="2:3">
      <c r="B6" s="4" t="s">
        <v>239</v>
      </c>
      <c r="C6" s="16">
        <v>0.05191697881001582</v>
      </c>
    </row>
    <row r="7" spans="2:3">
      <c r="B7" s="4" t="s">
        <v>240</v>
      </c>
      <c r="C7" s="16">
        <v>0.05138339920948617</v>
      </c>
    </row>
    <row r="8" spans="2:3">
      <c r="B8" s="4" t="s">
        <v>241</v>
      </c>
      <c r="C8" s="16">
        <v>0.03936735417591136</v>
      </c>
    </row>
    <row r="9" spans="2:3">
      <c r="B9" s="4" t="s">
        <v>242</v>
      </c>
      <c r="C9" s="16">
        <v>0.07735742518351214</v>
      </c>
    </row>
    <row r="10" spans="2:3">
      <c r="B10" s="4" t="s">
        <v>243</v>
      </c>
      <c r="C10" s="11">
        <v>0.5</v>
      </c>
    </row>
    <row r="11" spans="2:3">
      <c r="B11" s="4" t="s">
        <v>244</v>
      </c>
      <c r="C11" s="11">
        <v>0.5454545454545454</v>
      </c>
    </row>
    <row r="12" spans="2:3">
      <c r="B12" s="4" t="s">
        <v>245</v>
      </c>
      <c r="C12" s="11">
        <v>0.1966701035922562</v>
      </c>
    </row>
    <row r="13" spans="2:3">
      <c r="B13" s="4" t="s">
        <v>246</v>
      </c>
      <c r="C13" s="11">
        <v>0.249486451502519</v>
      </c>
    </row>
    <row r="14" spans="2:3">
      <c r="B14" s="4" t="s">
        <v>247</v>
      </c>
      <c r="C14" s="11">
        <v>0.4945612032498485</v>
      </c>
    </row>
    <row r="15" spans="2:3">
      <c r="B15" s="4" t="s">
        <v>248</v>
      </c>
      <c r="C15" s="10">
        <v>0.4590638734741476</v>
      </c>
    </row>
    <row r="16" spans="2:3">
      <c r="B16" s="4" t="s">
        <v>249</v>
      </c>
      <c r="C16" s="10">
        <v>0.4775014136300051</v>
      </c>
    </row>
    <row r="18" spans="2:12">
      <c r="B18" s="6" t="s">
        <v>250</v>
      </c>
    </row>
    <row r="19" spans="2:12">
      <c r="B19" s="7" t="s">
        <v>251</v>
      </c>
      <c r="C19" s="7" t="s">
        <v>252</v>
      </c>
      <c r="D19" s="7" t="s">
        <v>253</v>
      </c>
      <c r="E19" s="7" t="s">
        <v>254</v>
      </c>
      <c r="F19" s="7" t="s">
        <v>255</v>
      </c>
    </row>
    <row r="20" spans="2:12">
      <c r="B20" s="14" t="s">
        <v>63</v>
      </c>
      <c r="C20" s="14">
        <v>1</v>
      </c>
      <c r="D20" s="11">
        <v>-0.0209851405796474</v>
      </c>
      <c r="E20" s="11">
        <v>-0.0209851405796474</v>
      </c>
      <c r="F20" s="11">
        <v>0</v>
      </c>
    </row>
    <row r="21" spans="2:12">
      <c r="B21" s="14" t="s">
        <v>33</v>
      </c>
      <c r="C21" s="14">
        <v>9</v>
      </c>
      <c r="D21" s="11">
        <v>0.02672711655939455</v>
      </c>
      <c r="E21" s="11">
        <v>0.0342241351620467</v>
      </c>
      <c r="F21" s="11">
        <v>0.6666666666666666</v>
      </c>
    </row>
    <row r="22" spans="2:12">
      <c r="B22" s="14" t="s">
        <v>57</v>
      </c>
      <c r="C22" s="14">
        <v>9</v>
      </c>
      <c r="D22" s="11">
        <v>0.03563307545264917</v>
      </c>
      <c r="E22" s="11">
        <v>0.03163927438071323</v>
      </c>
      <c r="F22" s="11">
        <v>0.5555555555555556</v>
      </c>
    </row>
    <row r="23" spans="2:12">
      <c r="B23" s="14" t="s">
        <v>55</v>
      </c>
      <c r="C23" s="14">
        <v>3</v>
      </c>
      <c r="D23" s="11">
        <v>-0.01339661133548834</v>
      </c>
      <c r="E23" s="11">
        <v>-0.0426503083316756</v>
      </c>
      <c r="F23" s="11">
        <v>0.3333333333333333</v>
      </c>
    </row>
    <row r="25" spans="2:12">
      <c r="B25" s="6" t="s">
        <v>256</v>
      </c>
    </row>
    <row r="26" spans="2:12">
      <c r="B26" s="7" t="s">
        <v>36</v>
      </c>
      <c r="C26" s="7" t="s">
        <v>257</v>
      </c>
      <c r="D26" s="7" t="s">
        <v>40</v>
      </c>
      <c r="E26" s="7" t="s">
        <v>258</v>
      </c>
      <c r="F26" s="7" t="s">
        <v>259</v>
      </c>
      <c r="G26" s="7" t="s">
        <v>260</v>
      </c>
      <c r="H26" s="7" t="s">
        <v>44</v>
      </c>
      <c r="I26" s="7" t="s">
        <v>261</v>
      </c>
      <c r="J26" s="7" t="s">
        <v>262</v>
      </c>
      <c r="K26" s="7" t="s">
        <v>263</v>
      </c>
      <c r="L26" s="7" t="s">
        <v>264</v>
      </c>
    </row>
    <row r="27" spans="2:12">
      <c r="B27" s="14" t="s">
        <v>45</v>
      </c>
      <c r="C27" s="10">
        <v>64.01000000000001</v>
      </c>
      <c r="D27" s="14" t="s">
        <v>33</v>
      </c>
      <c r="E27" s="9">
        <v>0.5</v>
      </c>
      <c r="F27" s="10">
        <v>64.01000000000001</v>
      </c>
      <c r="G27" s="14" t="s">
        <v>33</v>
      </c>
      <c r="H27" s="11">
        <v>0.182224870744645</v>
      </c>
      <c r="I27" s="11">
        <v>0.0911124353723225</v>
      </c>
      <c r="J27" s="17" t="s">
        <v>265</v>
      </c>
      <c r="K27" s="10">
        <v>109.1112435372323</v>
      </c>
      <c r="L27" s="10">
        <v>118.2224870744645</v>
      </c>
    </row>
    <row r="28" spans="2:12">
      <c r="B28" s="14" t="s">
        <v>48</v>
      </c>
      <c r="C28" s="10">
        <v>55.19</v>
      </c>
      <c r="D28" s="14" t="s">
        <v>33</v>
      </c>
      <c r="E28" s="9">
        <v>0.5</v>
      </c>
      <c r="F28" s="10">
        <v>55.19</v>
      </c>
      <c r="G28" s="14" t="s">
        <v>33</v>
      </c>
      <c r="H28" s="11">
        <v>-0.04720457207766848</v>
      </c>
      <c r="I28" s="11">
        <v>-0.02360228603883424</v>
      </c>
      <c r="J28" s="13" t="s">
        <v>266</v>
      </c>
      <c r="K28" s="10">
        <v>106.5359687572136</v>
      </c>
      <c r="L28" s="10">
        <v>112.6418451621567</v>
      </c>
    </row>
    <row r="29" spans="2:12">
      <c r="B29" s="14" t="s">
        <v>49</v>
      </c>
      <c r="C29" s="10">
        <v>54.94</v>
      </c>
      <c r="D29" s="14" t="s">
        <v>33</v>
      </c>
      <c r="E29" s="9">
        <v>0.5</v>
      </c>
      <c r="F29" s="10">
        <v>54.94</v>
      </c>
      <c r="G29" s="14" t="s">
        <v>33</v>
      </c>
      <c r="H29" s="11">
        <v>0.1164031414392799</v>
      </c>
      <c r="I29" s="11">
        <v>0.05820157071963994</v>
      </c>
      <c r="J29" s="17" t="s">
        <v>265</v>
      </c>
      <c r="K29" s="10">
        <v>112.7365294770219</v>
      </c>
      <c r="L29" s="10">
        <v>125.7537097965487</v>
      </c>
    </row>
    <row r="30" spans="2:12">
      <c r="B30" s="14" t="s">
        <v>50</v>
      </c>
      <c r="C30" s="10">
        <v>52.61</v>
      </c>
      <c r="D30" s="14" t="s">
        <v>33</v>
      </c>
      <c r="E30" s="9">
        <v>0.5</v>
      </c>
      <c r="F30" s="10">
        <v>52.61</v>
      </c>
      <c r="G30" s="14" t="s">
        <v>33</v>
      </c>
      <c r="H30" s="11">
        <v>-0.004091358090610453</v>
      </c>
      <c r="I30" s="11">
        <v>-0.002045679045305226</v>
      </c>
      <c r="J30" s="13" t="s">
        <v>266</v>
      </c>
      <c r="K30" s="10">
        <v>112.5059067210303</v>
      </c>
      <c r="L30" s="10">
        <v>125.2392063385483</v>
      </c>
    </row>
    <row r="31" spans="2:12">
      <c r="B31" s="14" t="s">
        <v>51</v>
      </c>
      <c r="C31" s="10">
        <v>62.17</v>
      </c>
      <c r="D31" s="14" t="s">
        <v>33</v>
      </c>
      <c r="E31" s="9">
        <v>0.5</v>
      </c>
      <c r="F31" s="10">
        <v>60.76</v>
      </c>
      <c r="G31" s="14" t="s">
        <v>33</v>
      </c>
      <c r="H31" s="11">
        <v>-0.197399725228697</v>
      </c>
      <c r="I31" s="11">
        <v>-0.09869986261434849</v>
      </c>
      <c r="J31" s="13" t="s">
        <v>266</v>
      </c>
      <c r="K31" s="10">
        <v>101.4015891843619</v>
      </c>
      <c r="L31" s="10">
        <v>100.5170214194588</v>
      </c>
    </row>
    <row r="32" spans="2:12">
      <c r="B32" s="14" t="s">
        <v>54</v>
      </c>
      <c r="C32" s="10">
        <v>26.12</v>
      </c>
      <c r="D32" s="14" t="s">
        <v>55</v>
      </c>
      <c r="E32" s="9">
        <v>0.1</v>
      </c>
      <c r="F32" s="10">
        <v>50</v>
      </c>
      <c r="G32" s="14" t="s">
        <v>33</v>
      </c>
      <c r="H32" s="11">
        <v>-0.05468436873747495</v>
      </c>
      <c r="I32" s="11">
        <v>-0.005468436873747495</v>
      </c>
      <c r="J32" s="17" t="s">
        <v>265</v>
      </c>
      <c r="K32" s="10">
        <v>100.8470809950096</v>
      </c>
      <c r="L32" s="10">
        <v>95.02031155576445</v>
      </c>
    </row>
    <row r="33" spans="2:12">
      <c r="B33" s="14" t="s">
        <v>56</v>
      </c>
      <c r="C33" s="10">
        <v>35.08</v>
      </c>
      <c r="D33" s="14" t="s">
        <v>57</v>
      </c>
      <c r="E33" s="9">
        <v>0.3</v>
      </c>
      <c r="F33" s="10">
        <v>51.07</v>
      </c>
      <c r="G33" s="14" t="s">
        <v>33</v>
      </c>
      <c r="H33" s="11">
        <v>-0.1104309651888949</v>
      </c>
      <c r="I33" s="11">
        <v>-0.03312928955666848</v>
      </c>
      <c r="J33" s="17" t="s">
        <v>265</v>
      </c>
      <c r="K33" s="10">
        <v>97.50608884778109</v>
      </c>
      <c r="L33" s="10">
        <v>84.52712683811188</v>
      </c>
    </row>
    <row r="34" spans="2:12">
      <c r="B34" s="14" t="s">
        <v>59</v>
      </c>
      <c r="C34" s="10">
        <v>21.68</v>
      </c>
      <c r="D34" s="14" t="s">
        <v>55</v>
      </c>
      <c r="E34" s="9">
        <v>0.1</v>
      </c>
      <c r="F34" s="10">
        <v>45.8</v>
      </c>
      <c r="G34" s="14" t="s">
        <v>57</v>
      </c>
      <c r="H34" s="11">
        <v>0.05714484306268552</v>
      </c>
      <c r="I34" s="11">
        <v>0.005714484306268553</v>
      </c>
      <c r="J34" s="13" t="s">
        <v>266</v>
      </c>
      <c r="K34" s="10">
        <v>98.06328586226736</v>
      </c>
      <c r="L34" s="10">
        <v>89.35741623581549</v>
      </c>
    </row>
    <row r="35" spans="2:12">
      <c r="B35" s="14" t="s">
        <v>60</v>
      </c>
      <c r="C35" s="10">
        <v>49.98</v>
      </c>
      <c r="D35" s="14" t="s">
        <v>33</v>
      </c>
      <c r="E35" s="9">
        <v>0.5</v>
      </c>
      <c r="F35" s="10">
        <v>54.29</v>
      </c>
      <c r="G35" s="14" t="s">
        <v>33</v>
      </c>
      <c r="H35" s="11">
        <v>0.05216786895100678</v>
      </c>
      <c r="I35" s="11">
        <v>0.02608393447550339</v>
      </c>
      <c r="J35" s="13" t="s">
        <v>266</v>
      </c>
      <c r="K35" s="10">
        <v>100.6211621851513</v>
      </c>
      <c r="L35" s="10">
        <v>94.01900221580608</v>
      </c>
    </row>
    <row r="36" spans="2:12">
      <c r="B36" s="14" t="s">
        <v>61</v>
      </c>
      <c r="C36" s="10">
        <v>55.72</v>
      </c>
      <c r="D36" s="14" t="s">
        <v>33</v>
      </c>
      <c r="E36" s="9">
        <v>0.5</v>
      </c>
      <c r="F36" s="10">
        <v>56.39</v>
      </c>
      <c r="G36" s="14" t="s">
        <v>33</v>
      </c>
      <c r="H36" s="11">
        <v>0.03032548340445285</v>
      </c>
      <c r="I36" s="11">
        <v>0.01516274170222642</v>
      </c>
      <c r="J36" s="17" t="s">
        <v>265</v>
      </c>
      <c r="K36" s="10">
        <v>102.1468548771426</v>
      </c>
      <c r="L36" s="10">
        <v>96.87017390720473</v>
      </c>
    </row>
    <row r="37" spans="2:12">
      <c r="B37" s="14" t="s">
        <v>62</v>
      </c>
      <c r="C37" s="10">
        <v>66.42</v>
      </c>
      <c r="D37" s="14" t="s">
        <v>63</v>
      </c>
      <c r="E37" s="9">
        <v>0.775</v>
      </c>
      <c r="F37" s="10">
        <v>60.22</v>
      </c>
      <c r="G37" s="14" t="s">
        <v>33</v>
      </c>
      <c r="H37" s="11">
        <v>-0.0209851405796474</v>
      </c>
      <c r="I37" s="11">
        <v>-0.01626348394922673</v>
      </c>
      <c r="J37" s="13" t="s">
        <v>266</v>
      </c>
      <c r="K37" s="10">
        <v>100.4855911423842</v>
      </c>
      <c r="L37" s="10">
        <v>94.83733968978714</v>
      </c>
    </row>
    <row r="38" spans="2:12">
      <c r="B38" s="14" t="s">
        <v>64</v>
      </c>
      <c r="C38" s="10">
        <v>45.84</v>
      </c>
      <c r="D38" s="14" t="s">
        <v>57</v>
      </c>
      <c r="E38" s="9">
        <v>0.3</v>
      </c>
      <c r="F38" s="10">
        <v>53.57</v>
      </c>
      <c r="G38" s="14" t="s">
        <v>33</v>
      </c>
      <c r="H38" s="11">
        <v>0.136433230377103</v>
      </c>
      <c r="I38" s="11">
        <v>0.04092996911313089</v>
      </c>
      <c r="J38" s="13" t="s">
        <v>266</v>
      </c>
      <c r="K38" s="10">
        <v>104.5984632841567</v>
      </c>
      <c r="L38" s="10">
        <v>107.7763043040354</v>
      </c>
    </row>
    <row r="39" spans="2:12">
      <c r="B39" s="14" t="s">
        <v>65</v>
      </c>
      <c r="C39" s="10">
        <v>41.76</v>
      </c>
      <c r="D39" s="14" t="s">
        <v>57</v>
      </c>
      <c r="E39" s="9">
        <v>0.3</v>
      </c>
      <c r="F39" s="10">
        <v>52.15</v>
      </c>
      <c r="G39" s="14" t="s">
        <v>33</v>
      </c>
      <c r="H39" s="11">
        <v>-0.03019258774696476</v>
      </c>
      <c r="I39" s="11">
        <v>-0.009057776324089427</v>
      </c>
      <c r="J39" s="17" t="s">
        <v>265</v>
      </c>
      <c r="K39" s="10">
        <v>103.6510337998853</v>
      </c>
      <c r="L39" s="10">
        <v>104.5222587792923</v>
      </c>
    </row>
    <row r="40" spans="2:12">
      <c r="B40" s="14" t="s">
        <v>66</v>
      </c>
      <c r="C40" s="10">
        <v>54.84</v>
      </c>
      <c r="D40" s="14" t="s">
        <v>33</v>
      </c>
      <c r="E40" s="9">
        <v>0.5</v>
      </c>
      <c r="F40" s="10">
        <v>56.26</v>
      </c>
      <c r="G40" s="14" t="s">
        <v>33</v>
      </c>
      <c r="H40" s="11">
        <v>0.0342241351620467</v>
      </c>
      <c r="I40" s="11">
        <v>0.01711206758102335</v>
      </c>
      <c r="J40" s="17" t="s">
        <v>265</v>
      </c>
      <c r="K40" s="10">
        <v>105.4247172951119</v>
      </c>
      <c r="L40" s="10">
        <v>108.0994426911972</v>
      </c>
    </row>
    <row r="41" spans="2:12">
      <c r="B41" s="14" t="s">
        <v>67</v>
      </c>
      <c r="C41" s="10">
        <v>47.88</v>
      </c>
      <c r="D41" s="14" t="s">
        <v>57</v>
      </c>
      <c r="E41" s="9">
        <v>0.3</v>
      </c>
      <c r="F41" s="10">
        <v>54.14</v>
      </c>
      <c r="G41" s="14" t="s">
        <v>33</v>
      </c>
      <c r="H41" s="11">
        <v>-0.01642933677034653</v>
      </c>
      <c r="I41" s="11">
        <v>-0.004928801031103957</v>
      </c>
      <c r="J41" s="17" t="s">
        <v>265</v>
      </c>
      <c r="K41" s="10">
        <v>104.9050998398039</v>
      </c>
      <c r="L41" s="10">
        <v>106.3234405425367</v>
      </c>
    </row>
    <row r="42" spans="2:12">
      <c r="B42" s="14" t="s">
        <v>68</v>
      </c>
      <c r="C42" s="10">
        <v>48.34</v>
      </c>
      <c r="D42" s="14" t="s">
        <v>57</v>
      </c>
      <c r="E42" s="9">
        <v>0.3</v>
      </c>
      <c r="F42" s="10">
        <v>54.26</v>
      </c>
      <c r="G42" s="14" t="s">
        <v>33</v>
      </c>
      <c r="H42" s="11">
        <v>0.03163927438071323</v>
      </c>
      <c r="I42" s="11">
        <v>0.00949178231421397</v>
      </c>
      <c r="J42" s="13" t="s">
        <v>266</v>
      </c>
      <c r="K42" s="10">
        <v>105.9008362111342</v>
      </c>
      <c r="L42" s="10">
        <v>109.6874370509635</v>
      </c>
    </row>
    <row r="43" spans="2:12">
      <c r="B43" s="14" t="s">
        <v>69</v>
      </c>
      <c r="C43" s="10">
        <v>39.85</v>
      </c>
      <c r="D43" s="14" t="s">
        <v>57</v>
      </c>
      <c r="E43" s="9">
        <v>0.3</v>
      </c>
      <c r="F43" s="10">
        <v>51.77</v>
      </c>
      <c r="G43" s="14" t="s">
        <v>33</v>
      </c>
      <c r="H43" s="11">
        <v>0.05295900096414319</v>
      </c>
      <c r="I43" s="11">
        <v>0.01588770028924296</v>
      </c>
      <c r="J43" s="13" t="s">
        <v>266</v>
      </c>
      <c r="K43" s="10">
        <v>107.5833569572369</v>
      </c>
      <c r="L43" s="10">
        <v>115.4963741354999</v>
      </c>
    </row>
    <row r="44" spans="2:12">
      <c r="B44" s="14" t="s">
        <v>70</v>
      </c>
      <c r="C44" s="10">
        <v>39.78</v>
      </c>
      <c r="D44" s="14" t="s">
        <v>57</v>
      </c>
      <c r="E44" s="9">
        <v>0.3</v>
      </c>
      <c r="F44" s="10">
        <v>51.63</v>
      </c>
      <c r="G44" s="14" t="s">
        <v>33</v>
      </c>
      <c r="H44" s="11">
        <v>0.2075693823715363</v>
      </c>
      <c r="I44" s="11">
        <v>0.0622708147114609</v>
      </c>
      <c r="J44" s="13" t="s">
        <v>266</v>
      </c>
      <c r="K44" s="10">
        <v>114.2826602443579</v>
      </c>
      <c r="L44" s="10">
        <v>139.4698851809575</v>
      </c>
    </row>
    <row r="45" spans="2:12">
      <c r="B45" s="14" t="s">
        <v>71</v>
      </c>
      <c r="C45" s="10">
        <v>53.01</v>
      </c>
      <c r="D45" s="14" t="s">
        <v>33</v>
      </c>
      <c r="E45" s="9">
        <v>0.5</v>
      </c>
      <c r="F45" s="10">
        <v>55.24</v>
      </c>
      <c r="G45" s="14" t="s">
        <v>33</v>
      </c>
      <c r="H45" s="11">
        <v>0.07389420473009567</v>
      </c>
      <c r="I45" s="11">
        <v>0.03694710236504783</v>
      </c>
      <c r="J45" s="17" t="s">
        <v>265</v>
      </c>
      <c r="K45" s="10">
        <v>118.5050733909562</v>
      </c>
      <c r="L45" s="10">
        <v>149.7759014302021</v>
      </c>
    </row>
    <row r="46" spans="2:12">
      <c r="B46" s="14" t="s">
        <v>72</v>
      </c>
      <c r="C46" s="10">
        <v>43.29</v>
      </c>
      <c r="D46" s="14" t="s">
        <v>57</v>
      </c>
      <c r="E46" s="9">
        <v>0.3</v>
      </c>
      <c r="F46" s="10">
        <v>52.6</v>
      </c>
      <c r="G46" s="14" t="s">
        <v>33</v>
      </c>
      <c r="H46" s="11">
        <v>-0.06164226193478251</v>
      </c>
      <c r="I46" s="11">
        <v>-0.01849267858043475</v>
      </c>
      <c r="J46" s="17" t="s">
        <v>265</v>
      </c>
      <c r="K46" s="10">
        <v>116.3135971585864</v>
      </c>
      <c r="L46" s="10">
        <v>140.5433760827234</v>
      </c>
    </row>
    <row r="47" spans="2:12">
      <c r="B47" s="14" t="s">
        <v>73</v>
      </c>
      <c r="C47" s="10">
        <v>38.67</v>
      </c>
      <c r="D47" s="14" t="s">
        <v>57</v>
      </c>
      <c r="E47" s="9">
        <v>0.3</v>
      </c>
      <c r="F47" s="10">
        <v>51.31</v>
      </c>
      <c r="G47" s="14" t="s">
        <v>33</v>
      </c>
      <c r="H47" s="11">
        <v>0.1107919426213355</v>
      </c>
      <c r="I47" s="11">
        <v>0.03323758278640065</v>
      </c>
      <c r="J47" s="13" t="s">
        <v>266</v>
      </c>
      <c r="K47" s="10">
        <v>120.179579973329</v>
      </c>
      <c r="L47" s="10">
        <v>156.1144497414892</v>
      </c>
    </row>
    <row r="48" spans="2:12">
      <c r="B48" s="14" t="s">
        <v>74</v>
      </c>
      <c r="C48" s="10">
        <v>20.48</v>
      </c>
      <c r="D48" s="14" t="s">
        <v>55</v>
      </c>
      <c r="E48" s="9">
        <v>0.1</v>
      </c>
      <c r="F48" s="10">
        <v>46.38</v>
      </c>
      <c r="G48" s="14" t="s">
        <v>57</v>
      </c>
      <c r="H48" s="11">
        <v>-0.0426503083316756</v>
      </c>
      <c r="I48" s="11">
        <v>-0.004265030833167561</v>
      </c>
      <c r="J48" s="17" t="s">
        <v>265</v>
      </c>
      <c r="K48" s="10">
        <v>119.6670103592256</v>
      </c>
      <c r="L48" s="10">
        <v>149.4561203249849</v>
      </c>
    </row>
    <row r="69" spans="2:2">
      <c r="B69" s="19" t="s">
        <v>267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4748B"/>
  </sheetPr>
  <dimension ref="B2:I30"/>
  <sheetViews>
    <sheetView showGridLines="0" workbookViewId="0"/>
  </sheetViews>
  <sheetFormatPr defaultRowHeight="15"/>
  <cols>
    <col min="1" max="1" width="2.7109375" customWidth="1"/>
    <col min="2" max="2" width="12.7109375" customWidth="1"/>
    <col min="3" max="3" width="13.7109375" customWidth="1"/>
    <col min="4" max="4" width="52.7109375" customWidth="1"/>
    <col min="5" max="5" width="18.7109375" customWidth="1"/>
  </cols>
  <sheetData>
    <row r="2" spans="2:5">
      <c r="B2" s="1" t="s">
        <v>268</v>
      </c>
    </row>
    <row r="5" spans="2:5">
      <c r="B5" s="7" t="s">
        <v>18</v>
      </c>
      <c r="C5" s="7" t="s">
        <v>19</v>
      </c>
    </row>
    <row r="6" spans="2:5">
      <c r="B6" s="8" t="s">
        <v>24</v>
      </c>
      <c r="C6" s="9">
        <v>0.25</v>
      </c>
    </row>
    <row r="7" spans="2:5">
      <c r="B7" s="8" t="s">
        <v>26</v>
      </c>
      <c r="C7" s="9">
        <v>0.2</v>
      </c>
    </row>
    <row r="8" spans="2:5">
      <c r="B8" s="8" t="s">
        <v>28</v>
      </c>
      <c r="C8" s="9">
        <v>0.2</v>
      </c>
    </row>
    <row r="9" spans="2:5">
      <c r="B9" s="8" t="s">
        <v>29</v>
      </c>
      <c r="C9" s="9">
        <v>0.15</v>
      </c>
    </row>
    <row r="10" spans="2:5">
      <c r="B10" s="8" t="s">
        <v>30</v>
      </c>
      <c r="C10" s="9">
        <v>0.1</v>
      </c>
    </row>
    <row r="11" spans="2:5">
      <c r="B11" s="8" t="s">
        <v>31</v>
      </c>
      <c r="C11" s="9">
        <v>0.1</v>
      </c>
    </row>
    <row r="13" spans="2:5">
      <c r="B13" s="6" t="s">
        <v>269</v>
      </c>
    </row>
    <row r="14" spans="2:5">
      <c r="B14" s="7" t="s">
        <v>270</v>
      </c>
      <c r="C14" s="7" t="s">
        <v>271</v>
      </c>
      <c r="D14" s="7" t="s">
        <v>272</v>
      </c>
      <c r="E14" s="7" t="s">
        <v>258</v>
      </c>
    </row>
    <row r="15" spans="2:5">
      <c r="B15" s="14" t="s">
        <v>273</v>
      </c>
      <c r="C15" s="14" t="s">
        <v>274</v>
      </c>
      <c r="D15" s="18" t="s">
        <v>275</v>
      </c>
      <c r="E15" s="14" t="s">
        <v>276</v>
      </c>
    </row>
    <row r="16" spans="2:5">
      <c r="B16" s="14" t="s">
        <v>277</v>
      </c>
      <c r="C16" s="14" t="s">
        <v>278</v>
      </c>
      <c r="D16" s="18" t="s">
        <v>279</v>
      </c>
      <c r="E16" s="14" t="s">
        <v>280</v>
      </c>
    </row>
    <row r="17" spans="2:9">
      <c r="B17" s="14" t="s">
        <v>281</v>
      </c>
      <c r="C17" s="14" t="s">
        <v>282</v>
      </c>
      <c r="D17" s="18" t="s">
        <v>283</v>
      </c>
      <c r="E17" s="14" t="s">
        <v>284</v>
      </c>
    </row>
    <row r="18" spans="2:9">
      <c r="B18" s="14" t="s">
        <v>285</v>
      </c>
      <c r="C18" s="14" t="s">
        <v>286</v>
      </c>
      <c r="D18" s="18" t="s">
        <v>287</v>
      </c>
      <c r="E18" s="14" t="s">
        <v>288</v>
      </c>
    </row>
    <row r="19" spans="2:9">
      <c r="B19" s="14" t="s">
        <v>289</v>
      </c>
      <c r="C19" s="14" t="s">
        <v>290</v>
      </c>
      <c r="D19" s="18" t="s">
        <v>291</v>
      </c>
      <c r="E19" s="14" t="s">
        <v>292</v>
      </c>
    </row>
    <row r="21" spans="2:9">
      <c r="B21" s="6" t="s">
        <v>293</v>
      </c>
    </row>
    <row r="22" spans="2:9">
      <c r="B22" s="14" t="s">
        <v>294</v>
      </c>
      <c r="C22" s="19" t="s">
        <v>295</v>
      </c>
      <c r="D22" s="19"/>
      <c r="E22" s="19"/>
      <c r="F22" s="19"/>
      <c r="G22" s="19"/>
      <c r="H22" s="19"/>
      <c r="I22" s="19"/>
    </row>
    <row r="23" spans="2:9">
      <c r="B23" s="14" t="s">
        <v>294</v>
      </c>
      <c r="C23" s="19" t="s">
        <v>296</v>
      </c>
      <c r="D23" s="19"/>
      <c r="E23" s="19"/>
      <c r="F23" s="19"/>
      <c r="G23" s="19"/>
      <c r="H23" s="19"/>
      <c r="I23" s="19"/>
    </row>
    <row r="24" spans="2:9">
      <c r="B24" s="14" t="s">
        <v>294</v>
      </c>
      <c r="C24" s="19" t="s">
        <v>297</v>
      </c>
      <c r="D24" s="19"/>
      <c r="E24" s="19"/>
      <c r="F24" s="19"/>
      <c r="G24" s="19"/>
      <c r="H24" s="19"/>
      <c r="I24" s="19"/>
    </row>
    <row r="25" spans="2:9">
      <c r="B25" s="14" t="s">
        <v>294</v>
      </c>
      <c r="C25" s="19" t="s">
        <v>298</v>
      </c>
      <c r="D25" s="19"/>
      <c r="E25" s="19"/>
      <c r="F25" s="19"/>
      <c r="G25" s="19"/>
      <c r="H25" s="19"/>
      <c r="I25" s="19"/>
    </row>
    <row r="26" spans="2:9">
      <c r="B26" s="14" t="s">
        <v>294</v>
      </c>
      <c r="C26" s="19" t="s">
        <v>299</v>
      </c>
      <c r="D26" s="19"/>
      <c r="E26" s="19"/>
      <c r="F26" s="19"/>
      <c r="G26" s="19"/>
      <c r="H26" s="19"/>
      <c r="I26" s="19"/>
    </row>
    <row r="27" spans="2:9">
      <c r="B27" s="14" t="s">
        <v>294</v>
      </c>
      <c r="C27" s="19" t="s">
        <v>300</v>
      </c>
      <c r="D27" s="19"/>
      <c r="E27" s="19"/>
      <c r="F27" s="19"/>
      <c r="G27" s="19"/>
      <c r="H27" s="19"/>
      <c r="I27" s="19"/>
    </row>
    <row r="28" spans="2:9">
      <c r="B28" s="14" t="s">
        <v>294</v>
      </c>
      <c r="C28" s="19" t="s">
        <v>301</v>
      </c>
      <c r="D28" s="19"/>
      <c r="E28" s="19"/>
      <c r="F28" s="19"/>
      <c r="G28" s="19"/>
      <c r="H28" s="19"/>
      <c r="I28" s="19"/>
    </row>
    <row r="29" spans="2:9">
      <c r="B29" s="14" t="s">
        <v>294</v>
      </c>
      <c r="C29" s="19" t="s">
        <v>302</v>
      </c>
      <c r="D29" s="19"/>
      <c r="E29" s="19"/>
      <c r="F29" s="19"/>
      <c r="G29" s="19"/>
      <c r="H29" s="19"/>
      <c r="I29" s="19"/>
    </row>
    <row r="30" spans="2:9">
      <c r="B30" s="14" t="s">
        <v>294</v>
      </c>
      <c r="C30" s="19" t="s">
        <v>303</v>
      </c>
      <c r="D30" s="19"/>
      <c r="E30" s="19"/>
      <c r="F30" s="19"/>
      <c r="G30" s="19"/>
      <c r="H30" s="19"/>
      <c r="I30" s="19"/>
    </row>
  </sheetData>
  <mergeCells count="9"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00_Dashboard</vt:lpstr>
      <vt:lpstr>01_Score_History</vt:lpstr>
      <vt:lpstr>02_Factor_Impact</vt:lpstr>
      <vt:lpstr>03_Granger</vt:lpstr>
      <vt:lpstr>04_ML_Validation</vt:lpstr>
      <vt:lpstr>05_Factor_Scores</vt:lpstr>
      <vt:lpstr>06_Signal_Efficacy</vt:lpstr>
      <vt:lpstr>07_Methodology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2026-09-28T11:09:13Z</dcterms:created>
  <dcterms:modified xsi:type="dcterms:W3CDTF">2026-09-28T11:09:13Z</dcterms:modified>
</cp:coreProperties>
</file>